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alexbeatty/Documents/"/>
    </mc:Choice>
  </mc:AlternateContent>
  <xr:revisionPtr revIDLastSave="0" documentId="13_ncr:1_{72F42B95-AB46-A545-892C-7B08C7930AF3}" xr6:coauthVersionLast="47" xr6:coauthVersionMax="47" xr10:uidLastSave="{00000000-0000-0000-0000-000000000000}"/>
  <bookViews>
    <workbookView xWindow="75560" yWindow="260" windowWidth="30240" windowHeight="18880" xr2:uid="{00000000-000D-0000-FFFF-FFFF00000000}"/>
  </bookViews>
  <sheets>
    <sheet name="702" sheetId="1" r:id="rId1"/>
    <sheet name="703" sheetId="2" r:id="rId2"/>
    <sheet name="Detail" sheetId="3" r:id="rId3"/>
    <sheet name="_REFERENCE888777888" sheetId="4" r:id="rId4"/>
  </sheets>
  <definedNames>
    <definedName name="_xlnm._FilterDatabase" localSheetId="2" hidden="1">Detail!$A$2:$J$90</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0" i="2" l="1"/>
  <c r="G60" i="2" s="1"/>
  <c r="J60" i="2"/>
  <c r="E22" i="2"/>
  <c r="G22" i="2" s="1"/>
  <c r="J22" i="2"/>
  <c r="E23" i="2"/>
  <c r="G23" i="2" s="1"/>
  <c r="J23" i="2"/>
  <c r="D63" i="2"/>
  <c r="J24" i="2"/>
  <c r="J26" i="2"/>
  <c r="J27" i="2"/>
  <c r="J28" i="2"/>
  <c r="J29" i="2"/>
  <c r="J30" i="2"/>
  <c r="E41" i="2"/>
  <c r="E42" i="2"/>
  <c r="E43" i="2"/>
  <c r="E44" i="2"/>
  <c r="E45" i="2"/>
  <c r="E46" i="2"/>
  <c r="E47" i="2"/>
  <c r="E48" i="2"/>
  <c r="E49" i="2"/>
  <c r="E50" i="2"/>
  <c r="E52" i="2"/>
  <c r="E53" i="2"/>
  <c r="E54" i="2"/>
  <c r="E55" i="2"/>
  <c r="E56" i="2"/>
  <c r="E57" i="2"/>
  <c r="E58" i="2"/>
  <c r="E59" i="2"/>
  <c r="E40" i="2"/>
  <c r="E13" i="2"/>
  <c r="E14" i="2"/>
  <c r="E15" i="2"/>
  <c r="E16" i="2"/>
  <c r="E17" i="2"/>
  <c r="E18" i="2"/>
  <c r="E19" i="2"/>
  <c r="E20" i="2"/>
  <c r="E21" i="2"/>
  <c r="E24" i="2"/>
  <c r="E26" i="2"/>
  <c r="E27" i="2"/>
  <c r="E28" i="2"/>
  <c r="E29" i="2"/>
  <c r="E30" i="2"/>
  <c r="E32" i="2"/>
  <c r="E33" i="2"/>
  <c r="E34" i="2"/>
  <c r="H60" i="2" l="1"/>
  <c r="I60" i="2"/>
  <c r="H22" i="2"/>
  <c r="I22" i="2"/>
  <c r="H23" i="2"/>
  <c r="I23" i="2"/>
  <c r="J25" i="2"/>
  <c r="J31" i="2" l="1"/>
  <c r="G45" i="2"/>
  <c r="J45" i="2"/>
  <c r="H45" i="2" l="1"/>
  <c r="I45" i="2"/>
  <c r="J32" i="2"/>
  <c r="J33" i="2"/>
  <c r="J34" i="2"/>
  <c r="G30" i="2"/>
  <c r="G31" i="2"/>
  <c r="H31" i="2" s="1"/>
  <c r="G32" i="2"/>
  <c r="G33" i="2"/>
  <c r="G34" i="2"/>
  <c r="H34" i="2" l="1"/>
  <c r="I34" i="2"/>
  <c r="H33" i="2"/>
  <c r="I33" i="2"/>
  <c r="H32" i="2"/>
  <c r="I32" i="2"/>
  <c r="H30" i="2"/>
  <c r="I30" i="2"/>
  <c r="I31" i="2"/>
  <c r="G59" i="2" l="1"/>
  <c r="H93" i="3"/>
  <c r="J56" i="2"/>
  <c r="J57" i="2"/>
  <c r="J58" i="2"/>
  <c r="J59" i="2"/>
  <c r="I59" i="2" l="1"/>
  <c r="H59" i="2"/>
  <c r="G93" i="3" l="1"/>
  <c r="J44" i="2"/>
  <c r="G54" i="2"/>
  <c r="J54" i="2"/>
  <c r="G55" i="2"/>
  <c r="J55" i="2"/>
  <c r="G56" i="2"/>
  <c r="G57" i="2"/>
  <c r="G58" i="2"/>
  <c r="H57" i="2" l="1"/>
  <c r="I57" i="2"/>
  <c r="H58" i="2"/>
  <c r="I58" i="2"/>
  <c r="H56" i="2"/>
  <c r="I56" i="2"/>
  <c r="I55" i="2"/>
  <c r="H55" i="2"/>
  <c r="I54" i="2"/>
  <c r="H54" i="2"/>
  <c r="J41" i="2"/>
  <c r="J42" i="2"/>
  <c r="J43" i="2"/>
  <c r="J46" i="2"/>
  <c r="J47" i="2"/>
  <c r="J48" i="2"/>
  <c r="J49" i="2"/>
  <c r="J50" i="2"/>
  <c r="J51" i="2"/>
  <c r="J52" i="2"/>
  <c r="J53" i="2"/>
  <c r="J40" i="2"/>
  <c r="J13" i="2"/>
  <c r="J14" i="2"/>
  <c r="J15" i="2"/>
  <c r="J16" i="2"/>
  <c r="J17" i="2"/>
  <c r="J18" i="2"/>
  <c r="J19" i="2"/>
  <c r="J20" i="2"/>
  <c r="J21" i="2"/>
  <c r="J12" i="2"/>
  <c r="G44" i="2"/>
  <c r="H44" i="2" l="1"/>
  <c r="I44" i="2"/>
  <c r="J37" i="2"/>
  <c r="E63" i="2"/>
  <c r="J63" i="2" l="1"/>
  <c r="I90" i="3" l="1"/>
  <c r="I89" i="3"/>
  <c r="C37" i="2" l="1"/>
  <c r="C63" i="2"/>
  <c r="G53" i="2"/>
  <c r="G46" i="2"/>
  <c r="G47" i="2"/>
  <c r="G49" i="2"/>
  <c r="G50" i="2"/>
  <c r="G52" i="2"/>
  <c r="G13" i="2"/>
  <c r="H13" i="2" s="1"/>
  <c r="G14" i="2"/>
  <c r="H14" i="2" s="1"/>
  <c r="G15" i="2"/>
  <c r="H15" i="2" s="1"/>
  <c r="G16" i="2"/>
  <c r="H16" i="2" s="1"/>
  <c r="G17" i="2"/>
  <c r="H17" i="2" s="1"/>
  <c r="G18" i="2"/>
  <c r="H18" i="2" s="1"/>
  <c r="G19" i="2"/>
  <c r="H19" i="2" s="1"/>
  <c r="G20" i="2"/>
  <c r="H20" i="2" s="1"/>
  <c r="G21" i="2"/>
  <c r="H21" i="2" s="1"/>
  <c r="G24" i="2"/>
  <c r="H24" i="2" s="1"/>
  <c r="G25" i="2"/>
  <c r="H25" i="2" s="1"/>
  <c r="G26" i="2"/>
  <c r="H26" i="2" s="1"/>
  <c r="G27" i="2"/>
  <c r="H27" i="2" s="1"/>
  <c r="G28" i="2"/>
  <c r="H28" i="2" s="1"/>
  <c r="G29" i="2"/>
  <c r="H29" i="2" s="1"/>
  <c r="H49" i="2" l="1"/>
  <c r="I49" i="2"/>
  <c r="I47" i="2"/>
  <c r="H47" i="2"/>
  <c r="I46" i="2"/>
  <c r="H46" i="2"/>
  <c r="I53" i="2"/>
  <c r="H53" i="2"/>
  <c r="I52" i="2"/>
  <c r="H52" i="2"/>
  <c r="H50" i="2"/>
  <c r="I50" i="2"/>
  <c r="I24" i="2"/>
  <c r="I14" i="2"/>
  <c r="I19" i="2"/>
  <c r="I18" i="2"/>
  <c r="I29" i="2"/>
  <c r="I16" i="2"/>
  <c r="I28" i="2"/>
  <c r="I21" i="2"/>
  <c r="I15" i="2"/>
  <c r="I27" i="2"/>
  <c r="I20" i="2"/>
  <c r="I13" i="2"/>
  <c r="I25" i="2"/>
  <c r="I26" i="2"/>
  <c r="I17" i="2"/>
  <c r="G48" i="2" l="1"/>
  <c r="I93" i="3"/>
  <c r="G12" i="2"/>
  <c r="H12" i="2" s="1"/>
  <c r="G40" i="2"/>
  <c r="F63" i="2"/>
  <c r="I39" i="2"/>
  <c r="I38" i="2"/>
  <c r="F37" i="2"/>
  <c r="D37" i="2"/>
  <c r="J41" i="1"/>
  <c r="I41" i="1"/>
  <c r="I26" i="1"/>
  <c r="H40" i="2" l="1"/>
  <c r="I40" i="2"/>
  <c r="I48" i="2"/>
  <c r="H48" i="2"/>
  <c r="G51" i="2"/>
  <c r="G43" i="2"/>
  <c r="G42" i="2"/>
  <c r="F66" i="2"/>
  <c r="D66" i="2"/>
  <c r="G41" i="2"/>
  <c r="I41" i="2" s="1"/>
  <c r="J66" i="2"/>
  <c r="J27" i="1" s="1"/>
  <c r="I12" i="2"/>
  <c r="H43" i="2" l="1"/>
  <c r="I43" i="2"/>
  <c r="H42" i="2"/>
  <c r="I42" i="2"/>
  <c r="H51" i="2"/>
  <c r="I51" i="2"/>
  <c r="H41" i="2"/>
  <c r="G63" i="2"/>
  <c r="E37" i="2"/>
  <c r="G37" i="2" s="1"/>
  <c r="I37" i="2" s="1"/>
  <c r="E66" i="2" l="1"/>
  <c r="G66" i="2"/>
  <c r="H37" i="2"/>
  <c r="J21" i="1" l="1"/>
  <c r="J29" i="1" s="1"/>
  <c r="J33" i="1" s="1"/>
  <c r="C66" i="2"/>
  <c r="J18" i="1" l="1"/>
  <c r="J20" i="1" s="1"/>
  <c r="I35" i="1" s="1"/>
  <c r="H66" i="2"/>
  <c r="I66" i="2"/>
  <c r="I63" i="2"/>
  <c r="H63" i="2"/>
</calcChain>
</file>

<file path=xl/sharedStrings.xml><?xml version="1.0" encoding="utf-8"?>
<sst xmlns="http://schemas.openxmlformats.org/spreadsheetml/2006/main" count="170" uniqueCount="154">
  <si>
    <t>Application and Certificate for Payment</t>
  </si>
  <si>
    <t>OWNER:</t>
  </si>
  <si>
    <t>PROJECT:</t>
  </si>
  <si>
    <t>APPLICATION NO:</t>
  </si>
  <si>
    <t>Distribution to:</t>
  </si>
  <si>
    <t>OWNER</t>
  </si>
  <si>
    <t>:</t>
  </si>
  <si>
    <t>PERIOD TO:</t>
  </si>
  <si>
    <t>ARCHITECT</t>
  </si>
  <si>
    <t>SUBCONTRACT FOR:</t>
  </si>
  <si>
    <t>CONTRACTOR</t>
  </si>
  <si>
    <t>CONTRACTOR:</t>
  </si>
  <si>
    <t>VIA ARCHITECT:</t>
  </si>
  <si>
    <t>SUBCONTRACT DATE:</t>
  </si>
  <si>
    <t>FIELD</t>
  </si>
  <si>
    <t>PROJECT NOS:</t>
  </si>
  <si>
    <t>Bank</t>
  </si>
  <si>
    <t>SUBCONTRACTOR'S APPLCIATION FOR PAYMENT</t>
  </si>
  <si>
    <t>Application is made for payment, as shown below, in connection with the Subcontract.</t>
  </si>
  <si>
    <t>Continuation Sheet, AIA Document G703, is attached.</t>
  </si>
  <si>
    <t>1. ORIGINAL SUBCONTRACT SUM</t>
  </si>
  <si>
    <t>2. NET CHANGE BY CHANGE ORDERS</t>
  </si>
  <si>
    <r>
      <rPr>
        <b/>
        <sz val="11"/>
        <color rgb="FF000000"/>
        <rFont val="Calibri"/>
        <family val="2"/>
      </rPr>
      <t>3. SUBCONTRACT SUM TO DATE</t>
    </r>
    <r>
      <rPr>
        <sz val="11"/>
        <color rgb="FF000000"/>
        <rFont val="Calibri"/>
        <family val="2"/>
      </rPr>
      <t xml:space="preserve"> (Line 1+2)</t>
    </r>
  </si>
  <si>
    <t>By:</t>
  </si>
  <si>
    <t>Date:</t>
  </si>
  <si>
    <r>
      <rPr>
        <b/>
        <sz val="11"/>
        <color rgb="FF000000"/>
        <rFont val="Calibri"/>
        <family val="2"/>
      </rPr>
      <t>4. TOTAL COMPLETED &amp; STORED TO DATED</t>
    </r>
    <r>
      <rPr>
        <sz val="11"/>
        <color rgb="FF000000"/>
        <rFont val="Calibri"/>
        <family val="2"/>
      </rPr>
      <t xml:space="preserve"> (Column G on G703)</t>
    </r>
  </si>
  <si>
    <t>State of:</t>
  </si>
  <si>
    <t>5. RETAINAGE</t>
  </si>
  <si>
    <t>County of:</t>
  </si>
  <si>
    <t>a.</t>
  </si>
  <si>
    <t>% of Completed Work</t>
  </si>
  <si>
    <t>Subscribed and sworn to before</t>
  </si>
  <si>
    <t>(Column D + E on G703:</t>
  </si>
  <si>
    <t>)</t>
  </si>
  <si>
    <t>=</t>
  </si>
  <si>
    <t>me this</t>
  </si>
  <si>
    <t>day of</t>
  </si>
  <si>
    <t>b.</t>
  </si>
  <si>
    <t>% of Stored Material</t>
  </si>
  <si>
    <t>(Column F on G703:</t>
  </si>
  <si>
    <t>Notary Public:</t>
  </si>
  <si>
    <t>Total Retainage (Lines 5a + 5b or Total in Column I of G703)</t>
  </si>
  <si>
    <t>My Commission Expires:</t>
  </si>
  <si>
    <t>ARCHITECT'S CERTIFICATE FOR PAYMENT</t>
  </si>
  <si>
    <t>6. TOTAL EARNED LESS RETAINAGE</t>
  </si>
  <si>
    <t>(Line 4 Less Line 5 Total)</t>
  </si>
  <si>
    <t>7. LESS PREVIOUS CERTIFICATES FOR PAYMENT</t>
  </si>
  <si>
    <t>(Line 6 from prior Certificate)</t>
  </si>
  <si>
    <t>8. CURRENT PAYMENT DUE</t>
  </si>
  <si>
    <t>9. BALANCE TO FINISH, INCLUDING RETAINAGE</t>
  </si>
  <si>
    <t>(Line 3 less Line 6)</t>
  </si>
  <si>
    <t>AMOUNT CERTIFIED</t>
  </si>
  <si>
    <t>$</t>
  </si>
  <si>
    <t>CHANGE ORDER SUMMARY</t>
  </si>
  <si>
    <t>ADDITIONS</t>
  </si>
  <si>
    <t>DEDUCTIONS</t>
  </si>
  <si>
    <t>ARCHITECT:</t>
  </si>
  <si>
    <t>Total changes approved in previous months by Owner</t>
  </si>
  <si>
    <t>Total approved this Month</t>
  </si>
  <si>
    <t>TOTALS</t>
  </si>
  <si>
    <t>Continuation Sheet</t>
  </si>
  <si>
    <t>APPLICATION DATE:</t>
  </si>
  <si>
    <t>ARCHITECT'S PROJECT NO:</t>
  </si>
  <si>
    <t>A</t>
  </si>
  <si>
    <t>B</t>
  </si>
  <si>
    <t>C</t>
  </si>
  <si>
    <t>D</t>
  </si>
  <si>
    <t>E</t>
  </si>
  <si>
    <t>F</t>
  </si>
  <si>
    <t>G</t>
  </si>
  <si>
    <t>H</t>
  </si>
  <si>
    <t>I</t>
  </si>
  <si>
    <t>ITEM NO.</t>
  </si>
  <si>
    <t>DESCRIPTION OF WORK</t>
  </si>
  <si>
    <t>SCHEDULED VALUE</t>
  </si>
  <si>
    <t>WORK COMPLETED</t>
  </si>
  <si>
    <t>MATERIALS PRESENTLY STORED 
(NOT IN D OR E)</t>
  </si>
  <si>
    <t>TOTAL COMPLETED AND STORED TO DATE
(D+E+F)</t>
  </si>
  <si>
    <t>%
(G÷C)</t>
  </si>
  <si>
    <t>BALANCE TO FINISH
(C-G)</t>
  </si>
  <si>
    <t>RETAINAGE
(IF VARIABLE RATE)</t>
  </si>
  <si>
    <t>FROM PREVIOUS APPLICATION 
(D+E)</t>
  </si>
  <si>
    <t>THIS PERIOD</t>
  </si>
  <si>
    <t>CONSTRUCTION HARD COSTS</t>
  </si>
  <si>
    <t>HARD COSTS SUBTOTAL</t>
  </si>
  <si>
    <t>CONSTRUCTION SOFT COSTS</t>
  </si>
  <si>
    <t>SOFT COSTS SUBTOTAL</t>
  </si>
  <si>
    <t>TOTAL COSTS</t>
  </si>
  <si>
    <t>Vendor</t>
  </si>
  <si>
    <t>Invoice</t>
  </si>
  <si>
    <t>Invoice Date</t>
  </si>
  <si>
    <t>Draw #</t>
  </si>
  <si>
    <t>AIA Item</t>
  </si>
  <si>
    <t>Cost Type</t>
  </si>
  <si>
    <t>Retainage</t>
  </si>
  <si>
    <t>Total</t>
  </si>
  <si>
    <t>Invoice Copy?</t>
  </si>
  <si>
    <t>WorkSheet Name</t>
  </si>
  <si>
    <t>Report Code</t>
  </si>
  <si>
    <t>Company Id</t>
  </si>
  <si>
    <t>Job Id</t>
  </si>
  <si>
    <t>Start Date</t>
  </si>
  <si>
    <t>End Date</t>
  </si>
  <si>
    <t>Payroll Subledger</t>
  </si>
  <si>
    <t>Pay Period Id</t>
  </si>
  <si>
    <t>Cost</t>
  </si>
  <si>
    <t>TOTAL</t>
  </si>
  <si>
    <t>Check #/Wire #</t>
  </si>
  <si>
    <t>Date</t>
  </si>
  <si>
    <t>Consultants</t>
  </si>
  <si>
    <t>IT</t>
  </si>
  <si>
    <t>OS&amp;E</t>
  </si>
  <si>
    <t>Civil Engineering</t>
  </si>
  <si>
    <t>Fire Suppression</t>
  </si>
  <si>
    <t>HVAC</t>
  </si>
  <si>
    <t>Legal Fees</t>
  </si>
  <si>
    <t>Utilities</t>
  </si>
  <si>
    <t>Earthwork</t>
  </si>
  <si>
    <t>Working Capital</t>
  </si>
  <si>
    <t>General Requirements</t>
  </si>
  <si>
    <t>Existing Conditions</t>
  </si>
  <si>
    <t>Woods, Plastics &amp; Composits</t>
  </si>
  <si>
    <t>Concrete</t>
  </si>
  <si>
    <t>Masonry</t>
  </si>
  <si>
    <t>Metals</t>
  </si>
  <si>
    <t>Thermal &amp; Moisture Protection</t>
  </si>
  <si>
    <t>Openings</t>
  </si>
  <si>
    <t>Finishes</t>
  </si>
  <si>
    <t>Specialties</t>
  </si>
  <si>
    <t>Equipment</t>
  </si>
  <si>
    <t>Furnishings</t>
  </si>
  <si>
    <t>Special Construction</t>
  </si>
  <si>
    <t>Conveying Equipment</t>
  </si>
  <si>
    <t>Plumbing</t>
  </si>
  <si>
    <t>Electrical</t>
  </si>
  <si>
    <t>Electronic Safety &amp; Security</t>
  </si>
  <si>
    <t>Exterior Improvements</t>
  </si>
  <si>
    <t>Hard Cost Contingency</t>
  </si>
  <si>
    <t>HC</t>
  </si>
  <si>
    <t xml:space="preserve">Land Costs </t>
  </si>
  <si>
    <t>Development Services &amp; Fees</t>
  </si>
  <si>
    <t>Architectural Design Fees</t>
  </si>
  <si>
    <t>Preconstruction Services</t>
  </si>
  <si>
    <t>Permit Fees &amp; Licenses</t>
  </si>
  <si>
    <t>Finance &amp; Closing  Fees</t>
  </si>
  <si>
    <t>Franchise Fees</t>
  </si>
  <si>
    <t>Real Estate Taxes</t>
  </si>
  <si>
    <t>Interest Expense</t>
  </si>
  <si>
    <t>Contingency</t>
  </si>
  <si>
    <t>Construction Management Fees</t>
  </si>
  <si>
    <t>FF&amp;E</t>
  </si>
  <si>
    <t>Builder's Risk &amp; Liability Insurance</t>
  </si>
  <si>
    <t>Pre Opening</t>
  </si>
  <si>
    <t>Miscellaneous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</si>
</sst>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43" formatCode="_(* #,##0.00_);_(* \(#,##0.00\);_(* &quot;-&quot;??_);_(@_)"/>
  </numFmts>
  <fonts count="19">
    <font>
      <sz val="11"/>
      <color rgb="FF000000"/>
      <name val="Calibri"/>
      <scheme val="minor"/>
    </font>
    <font>
      <sz val="11"/>
      <color rgb="FF000000"/>
      <name val="Calibri"/>
      <family val="2"/>
    </font>
    <font>
      <i/>
      <sz val="22"/>
      <color rgb="FF000000"/>
      <name val="Calibri"/>
      <family val="2"/>
    </font>
    <font>
      <sz val="11"/>
      <name val="Calibri"/>
      <family val="2"/>
    </font>
    <font>
      <sz val="11"/>
      <color theme="1"/>
      <name val="Calibri"/>
      <family val="2"/>
      <scheme val="minor"/>
    </font>
    <font>
      <b/>
      <sz val="11"/>
      <color rgb="FF000000"/>
      <name val="Calibri"/>
      <family val="2"/>
    </font>
    <font>
      <b/>
      <sz val="14"/>
      <color rgb="FF000000"/>
      <name val="Calibri"/>
      <family val="2"/>
    </font>
    <font>
      <sz val="11"/>
      <color theme="1"/>
      <name val="Calibri"/>
      <family val="2"/>
    </font>
    <font>
      <b/>
      <sz val="18"/>
      <color rgb="FF000000"/>
      <name val="Calibri"/>
      <family val="2"/>
    </font>
    <font>
      <i/>
      <sz val="18"/>
      <color rgb="FF000000"/>
      <name val="Calibri"/>
      <family val="2"/>
    </font>
    <font>
      <sz val="10"/>
      <color rgb="FF000000"/>
      <name val="Lustria"/>
    </font>
    <font>
      <sz val="11"/>
      <color rgb="FF000000"/>
      <name val="Lustria"/>
    </font>
    <font>
      <b/>
      <sz val="12"/>
      <color rgb="FF000000"/>
      <name val="Lustria"/>
    </font>
    <font>
      <b/>
      <sz val="11"/>
      <color rgb="FFFFFFFF"/>
      <name val="Calibri"/>
      <family val="2"/>
    </font>
    <font>
      <sz val="11"/>
      <color rgb="FF000000"/>
      <name val="Calibri"/>
      <family val="2"/>
      <scheme val="minor"/>
    </font>
    <font>
      <sz val="11"/>
      <color rgb="FF000000"/>
      <name val="Calibri"/>
      <family val="2"/>
      <scheme val="minor"/>
    </font>
    <font>
      <sz val="11"/>
      <color rgb="FFFF0000"/>
      <name val="Calibri"/>
      <family val="2"/>
    </font>
    <font>
      <sz val="8"/>
      <name val="Calibri"/>
      <family val="2"/>
      <scheme val="minor"/>
    </font>
    <font>
      <sz val="10"/>
      <color rgb="FF000000"/>
      <name val="Times New Roman"/>
      <family val="1"/>
    </font>
  </fonts>
  <fills count="10">
    <fill>
      <patternFill patternType="none"/>
    </fill>
    <fill>
      <patternFill patternType="gray125"/>
    </fill>
    <fill>
      <patternFill patternType="solid">
        <fgColor rgb="FFD8D8D8"/>
        <bgColor rgb="FFD8D8D8"/>
      </patternFill>
    </fill>
    <fill>
      <patternFill patternType="solid">
        <fgColor rgb="FFFFFF00"/>
        <bgColor rgb="FFFFFF00"/>
      </patternFill>
    </fill>
    <fill>
      <patternFill patternType="solid">
        <fgColor rgb="FFE7E6E6"/>
        <bgColor rgb="FFE7E6E6"/>
      </patternFill>
    </fill>
    <fill>
      <patternFill patternType="solid">
        <fgColor rgb="FFD6DCE4"/>
        <bgColor rgb="FFD6DCE4"/>
      </patternFill>
    </fill>
    <fill>
      <patternFill patternType="solid">
        <fgColor rgb="FFFFFFFF"/>
        <bgColor rgb="FFFFFFFF"/>
      </patternFill>
    </fill>
    <fill>
      <patternFill patternType="solid">
        <fgColor theme="1"/>
        <bgColor theme="1"/>
      </patternFill>
    </fill>
    <fill>
      <patternFill patternType="solid">
        <fgColor theme="0" tint="-0.14999847407452621"/>
        <bgColor rgb="FFFFFF00"/>
      </patternFill>
    </fill>
    <fill>
      <patternFill patternType="solid">
        <fgColor theme="0" tint="-0.14999847407452621"/>
        <bgColor indexed="64"/>
      </patternFill>
    </fill>
  </fills>
  <borders count="3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style="thin">
        <color rgb="FF000000"/>
      </right>
      <top/>
      <bottom style="thick">
        <color rgb="FF000000"/>
      </bottom>
      <diagonal/>
    </border>
    <border>
      <left style="thin">
        <color rgb="FF000000"/>
      </left>
      <right/>
      <top style="thick">
        <color rgb="FF000000"/>
      </top>
      <bottom/>
      <diagonal/>
    </border>
    <border>
      <left/>
      <right/>
      <top style="thick">
        <color rgb="FF000000"/>
      </top>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right/>
      <top/>
      <bottom style="thin">
        <color rgb="FF000000"/>
      </bottom>
      <diagonal/>
    </border>
    <border>
      <left/>
      <right/>
      <top style="medium">
        <color rgb="FF000000"/>
      </top>
      <bottom style="medium">
        <color rgb="FF000000"/>
      </bottom>
      <diagonal/>
    </border>
    <border>
      <left/>
      <right/>
      <top/>
      <bottom style="thin">
        <color rgb="FF000000"/>
      </bottom>
      <diagonal/>
    </border>
    <border>
      <left/>
      <right style="thin">
        <color rgb="FF000000"/>
      </right>
      <top/>
      <bottom style="medium">
        <color rgb="FF000000"/>
      </bottom>
      <diagonal/>
    </border>
    <border>
      <left/>
      <right/>
      <top style="medium">
        <color rgb="FF000000"/>
      </top>
      <bottom/>
      <diagonal/>
    </border>
    <border>
      <left/>
      <right style="thin">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style="dotted">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n">
        <color rgb="FF000000"/>
      </right>
      <top/>
      <bottom/>
      <diagonal/>
    </border>
    <border>
      <left style="thin">
        <color rgb="FF000000"/>
      </left>
      <right style="thin">
        <color rgb="FF000000"/>
      </right>
      <top/>
      <bottom/>
      <diagonal/>
    </border>
    <border>
      <left/>
      <right/>
      <top/>
      <bottom/>
      <diagonal/>
    </border>
    <border>
      <left/>
      <right/>
      <top/>
      <bottom style="thin">
        <color rgb="FFC0C0C0"/>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4" fillId="0" borderId="0" applyFont="0" applyFill="0" applyBorder="0" applyAlignment="0" applyProtection="0"/>
    <xf numFmtId="0" fontId="18" fillId="0" borderId="36"/>
  </cellStyleXfs>
  <cellXfs count="147">
    <xf numFmtId="0" fontId="0" fillId="0" borderId="0" xfId="0"/>
    <xf numFmtId="0" fontId="1" fillId="0" borderId="1" xfId="0" applyFont="1" applyBorder="1"/>
    <xf numFmtId="0" fontId="1" fillId="0" borderId="2" xfId="0" applyFont="1" applyBorder="1"/>
    <xf numFmtId="0" fontId="1" fillId="0" borderId="3" xfId="0" applyFont="1" applyBorder="1"/>
    <xf numFmtId="0" fontId="2" fillId="0" borderId="4" xfId="0" applyFont="1" applyBorder="1"/>
    <xf numFmtId="0" fontId="1" fillId="0" borderId="5" xfId="0" applyFont="1" applyBorder="1"/>
    <xf numFmtId="0" fontId="1" fillId="0" borderId="4" xfId="0" applyFont="1" applyBorder="1"/>
    <xf numFmtId="0" fontId="1" fillId="0" borderId="0" xfId="0" applyFont="1" applyAlignment="1">
      <alignment horizontal="right"/>
    </xf>
    <xf numFmtId="0" fontId="4" fillId="0" borderId="0" xfId="0" applyFont="1"/>
    <xf numFmtId="0" fontId="5" fillId="0" borderId="5" xfId="0" applyFont="1" applyBorder="1" applyAlignment="1">
      <alignment horizontal="right"/>
    </xf>
    <xf numFmtId="0" fontId="1" fillId="2" borderId="9" xfId="0" applyFont="1" applyFill="1" applyBorder="1"/>
    <xf numFmtId="0" fontId="5" fillId="2" borderId="9" xfId="0" applyFont="1" applyFill="1" applyBorder="1" applyAlignment="1">
      <alignment horizontal="center"/>
    </xf>
    <xf numFmtId="0" fontId="1" fillId="0" borderId="10" xfId="0" applyFont="1" applyBorder="1"/>
    <xf numFmtId="0" fontId="1" fillId="0" borderId="11" xfId="0" applyFont="1" applyBorder="1"/>
    <xf numFmtId="0" fontId="6" fillId="0" borderId="12" xfId="0" applyFont="1" applyBorder="1" applyAlignment="1">
      <alignment vertical="center"/>
    </xf>
    <xf numFmtId="0" fontId="1" fillId="0" borderId="13" xfId="0" applyFont="1" applyBorder="1"/>
    <xf numFmtId="0" fontId="1" fillId="0" borderId="4" xfId="0" applyFont="1" applyBorder="1" applyAlignment="1">
      <alignment vertical="top"/>
    </xf>
    <xf numFmtId="0" fontId="5" fillId="0" borderId="4" xfId="0" applyFont="1" applyBorder="1"/>
    <xf numFmtId="0" fontId="5" fillId="0" borderId="0" xfId="0" applyFont="1"/>
    <xf numFmtId="0" fontId="1" fillId="0" borderId="4" xfId="0" applyFont="1" applyBorder="1" applyAlignment="1">
      <alignment horizontal="right"/>
    </xf>
    <xf numFmtId="10" fontId="1" fillId="2" borderId="19" xfId="0" applyNumberFormat="1" applyFont="1" applyFill="1" applyBorder="1"/>
    <xf numFmtId="44" fontId="1" fillId="0" borderId="17" xfId="0" applyNumberFormat="1" applyFont="1" applyBorder="1"/>
    <xf numFmtId="0" fontId="7" fillId="0" borderId="0" xfId="0" applyFont="1"/>
    <xf numFmtId="0" fontId="1" fillId="2" borderId="19" xfId="0" applyFont="1" applyFill="1" applyBorder="1"/>
    <xf numFmtId="0" fontId="1" fillId="0" borderId="16" xfId="0" applyFont="1" applyBorder="1"/>
    <xf numFmtId="0" fontId="1" fillId="0" borderId="20" xfId="0" applyFont="1" applyBorder="1"/>
    <xf numFmtId="44" fontId="1" fillId="0" borderId="0" xfId="0" applyNumberFormat="1" applyFont="1"/>
    <xf numFmtId="44" fontId="1" fillId="0" borderId="16" xfId="0" applyNumberFormat="1" applyFont="1" applyBorder="1"/>
    <xf numFmtId="0" fontId="1" fillId="0" borderId="25" xfId="0" applyFont="1" applyBorder="1"/>
    <xf numFmtId="0" fontId="1" fillId="0" borderId="9" xfId="0" applyFont="1" applyBorder="1" applyAlignment="1">
      <alignment horizontal="center"/>
    </xf>
    <xf numFmtId="44" fontId="1" fillId="2" borderId="9" xfId="0" applyNumberFormat="1" applyFont="1" applyFill="1" applyBorder="1"/>
    <xf numFmtId="44" fontId="1" fillId="0" borderId="9" xfId="0" applyNumberFormat="1" applyFont="1" applyBorder="1"/>
    <xf numFmtId="0" fontId="1" fillId="0" borderId="30" xfId="0" applyFont="1" applyBorder="1"/>
    <xf numFmtId="0" fontId="1" fillId="0" borderId="17" xfId="0" applyFont="1" applyBorder="1"/>
    <xf numFmtId="0" fontId="1" fillId="0" borderId="26" xfId="0" applyFont="1" applyBorder="1"/>
    <xf numFmtId="0" fontId="9" fillId="0" borderId="16" xfId="0" applyFont="1" applyBorder="1"/>
    <xf numFmtId="0" fontId="10" fillId="0" borderId="9" xfId="0" applyFont="1" applyBorder="1" applyAlignment="1">
      <alignment horizontal="center"/>
    </xf>
    <xf numFmtId="44" fontId="10" fillId="0" borderId="9" xfId="0" applyNumberFormat="1" applyFont="1" applyBorder="1" applyAlignment="1">
      <alignment horizontal="center"/>
    </xf>
    <xf numFmtId="0" fontId="11" fillId="0" borderId="33" xfId="0" applyFont="1" applyBorder="1" applyAlignment="1">
      <alignment horizontal="center" vertical="top" wrapText="1"/>
    </xf>
    <xf numFmtId="0" fontId="11" fillId="0" borderId="33" xfId="0" applyFont="1" applyBorder="1" applyAlignment="1">
      <alignment horizontal="center" vertical="center" wrapText="1"/>
    </xf>
    <xf numFmtId="0" fontId="11" fillId="0" borderId="34" xfId="0" applyFont="1" applyBorder="1" applyAlignment="1">
      <alignment horizontal="center" vertical="center" wrapText="1"/>
    </xf>
    <xf numFmtId="0" fontId="12" fillId="4" borderId="35" xfId="0" applyFont="1" applyFill="1" applyBorder="1" applyAlignment="1">
      <alignment horizontal="center" vertical="center" wrapText="1"/>
    </xf>
    <xf numFmtId="0" fontId="11" fillId="0" borderId="34" xfId="0" applyFont="1" applyBorder="1" applyAlignment="1">
      <alignment horizontal="center" vertical="top" wrapText="1"/>
    </xf>
    <xf numFmtId="44" fontId="11" fillId="0" borderId="34" xfId="0" applyNumberFormat="1" applyFont="1" applyBorder="1" applyAlignment="1">
      <alignment horizontal="center" vertical="center" wrapText="1"/>
    </xf>
    <xf numFmtId="0" fontId="1" fillId="0" borderId="9" xfId="0" applyFont="1" applyBorder="1"/>
    <xf numFmtId="10" fontId="1" fillId="0" borderId="9" xfId="0" applyNumberFormat="1" applyFont="1" applyBorder="1"/>
    <xf numFmtId="44" fontId="7" fillId="0" borderId="9" xfId="0" applyNumberFormat="1" applyFont="1" applyBorder="1"/>
    <xf numFmtId="10" fontId="1" fillId="0" borderId="0" xfId="0" applyNumberFormat="1" applyFont="1"/>
    <xf numFmtId="0" fontId="1" fillId="5" borderId="9" xfId="0" applyFont="1" applyFill="1" applyBorder="1"/>
    <xf numFmtId="0" fontId="6" fillId="5" borderId="9" xfId="0" applyFont="1" applyFill="1" applyBorder="1" applyAlignment="1">
      <alignment wrapText="1"/>
    </xf>
    <xf numFmtId="44" fontId="1" fillId="5" borderId="9" xfId="0" applyNumberFormat="1" applyFont="1" applyFill="1" applyBorder="1"/>
    <xf numFmtId="10" fontId="1" fillId="5" borderId="9" xfId="0" applyNumberFormat="1" applyFont="1" applyFill="1" applyBorder="1"/>
    <xf numFmtId="0" fontId="1" fillId="6" borderId="9" xfId="0" applyFont="1" applyFill="1" applyBorder="1"/>
    <xf numFmtId="43" fontId="1" fillId="0" borderId="9" xfId="0" applyNumberFormat="1" applyFont="1" applyBorder="1"/>
    <xf numFmtId="43" fontId="1" fillId="6" borderId="9" xfId="0" applyNumberFormat="1" applyFont="1" applyFill="1" applyBorder="1"/>
    <xf numFmtId="44" fontId="1" fillId="6" borderId="9" xfId="0" applyNumberFormat="1" applyFont="1" applyFill="1" applyBorder="1"/>
    <xf numFmtId="10" fontId="1" fillId="6" borderId="9" xfId="0" applyNumberFormat="1" applyFont="1" applyFill="1" applyBorder="1"/>
    <xf numFmtId="0" fontId="11" fillId="6" borderId="9" xfId="0" applyFont="1" applyFill="1" applyBorder="1" applyAlignment="1">
      <alignment horizontal="center" vertical="center" wrapText="1"/>
    </xf>
    <xf numFmtId="0" fontId="11" fillId="0" borderId="9" xfId="0" applyFont="1" applyBorder="1" applyAlignment="1">
      <alignment horizontal="center" vertical="top" wrapText="1"/>
    </xf>
    <xf numFmtId="44" fontId="11" fillId="6" borderId="9" xfId="0" applyNumberFormat="1" applyFont="1" applyFill="1" applyBorder="1" applyAlignment="1">
      <alignment horizontal="center" vertical="top" wrapText="1"/>
    </xf>
    <xf numFmtId="44" fontId="1" fillId="6" borderId="9" xfId="0" applyNumberFormat="1" applyFont="1" applyFill="1" applyBorder="1" applyAlignment="1">
      <alignment wrapText="1"/>
    </xf>
    <xf numFmtId="0" fontId="1" fillId="5" borderId="36" xfId="0" applyFont="1" applyFill="1" applyBorder="1"/>
    <xf numFmtId="44" fontId="1" fillId="5" borderId="36" xfId="0" applyNumberFormat="1" applyFont="1" applyFill="1" applyBorder="1"/>
    <xf numFmtId="4" fontId="1" fillId="5" borderId="36" xfId="0" applyNumberFormat="1" applyFont="1" applyFill="1" applyBorder="1"/>
    <xf numFmtId="10" fontId="1" fillId="5" borderId="36" xfId="0" applyNumberFormat="1" applyFont="1" applyFill="1" applyBorder="1"/>
    <xf numFmtId="4" fontId="1" fillId="0" borderId="0" xfId="0" applyNumberFormat="1" applyFont="1"/>
    <xf numFmtId="44" fontId="7" fillId="0" borderId="0" xfId="0" applyNumberFormat="1" applyFont="1" applyAlignment="1">
      <alignment horizontal="center"/>
    </xf>
    <xf numFmtId="44" fontId="13" fillId="7" borderId="0" xfId="0" applyNumberFormat="1" applyFont="1" applyFill="1"/>
    <xf numFmtId="0" fontId="13" fillId="7" borderId="0" xfId="0" applyFont="1" applyFill="1"/>
    <xf numFmtId="44" fontId="13" fillId="7" borderId="37" xfId="0" applyNumberFormat="1" applyFont="1" applyFill="1" applyBorder="1"/>
    <xf numFmtId="0" fontId="3" fillId="0" borderId="36" xfId="0" applyFont="1" applyBorder="1"/>
    <xf numFmtId="0" fontId="1" fillId="0" borderId="36" xfId="0" applyFont="1" applyBorder="1" applyAlignment="1">
      <alignment horizontal="left"/>
    </xf>
    <xf numFmtId="0" fontId="1" fillId="0" borderId="36" xfId="0" applyFont="1" applyBorder="1"/>
    <xf numFmtId="0" fontId="1" fillId="0" borderId="36" xfId="0" quotePrefix="1" applyFont="1" applyBorder="1" applyAlignment="1">
      <alignment horizontal="center"/>
    </xf>
    <xf numFmtId="44" fontId="1" fillId="0" borderId="36" xfId="0" applyNumberFormat="1" applyFont="1" applyBorder="1"/>
    <xf numFmtId="44" fontId="5" fillId="0" borderId="36" xfId="0" applyNumberFormat="1" applyFont="1" applyBorder="1"/>
    <xf numFmtId="0" fontId="1" fillId="0" borderId="36" xfId="0" applyFont="1" applyBorder="1" applyAlignment="1">
      <alignment horizontal="center"/>
    </xf>
    <xf numFmtId="44" fontId="0" fillId="0" borderId="0" xfId="0" applyNumberFormat="1"/>
    <xf numFmtId="14" fontId="1" fillId="0" borderId="36" xfId="0" applyNumberFormat="1" applyFont="1" applyBorder="1" applyAlignment="1">
      <alignment horizontal="left"/>
    </xf>
    <xf numFmtId="44" fontId="5" fillId="0" borderId="0" xfId="0" applyNumberFormat="1" applyFont="1"/>
    <xf numFmtId="0" fontId="15" fillId="0" borderId="0" xfId="0" applyFont="1"/>
    <xf numFmtId="14" fontId="0" fillId="0" borderId="0" xfId="0" applyNumberFormat="1"/>
    <xf numFmtId="44" fontId="13" fillId="7" borderId="36" xfId="0" applyNumberFormat="1" applyFont="1" applyFill="1" applyBorder="1"/>
    <xf numFmtId="0" fontId="0" fillId="0" borderId="36" xfId="0" applyBorder="1"/>
    <xf numFmtId="0" fontId="14" fillId="0" borderId="36" xfId="0" applyFont="1" applyBorder="1" applyAlignment="1">
      <alignment horizontal="center"/>
    </xf>
    <xf numFmtId="44" fontId="0" fillId="0" borderId="36" xfId="1" applyFont="1" applyBorder="1"/>
    <xf numFmtId="44" fontId="0" fillId="0" borderId="36" xfId="0" applyNumberFormat="1" applyBorder="1"/>
    <xf numFmtId="0" fontId="1" fillId="0" borderId="31" xfId="0" applyFont="1" applyBorder="1" applyAlignment="1">
      <alignment horizontal="center"/>
    </xf>
    <xf numFmtId="0" fontId="1" fillId="0" borderId="31" xfId="0" applyFont="1" applyBorder="1"/>
    <xf numFmtId="0" fontId="1" fillId="0" borderId="38" xfId="0" applyFont="1" applyBorder="1" applyAlignment="1">
      <alignment horizontal="center"/>
    </xf>
    <xf numFmtId="0" fontId="1" fillId="0" borderId="38" xfId="0" applyFont="1" applyBorder="1"/>
    <xf numFmtId="0" fontId="16" fillId="0" borderId="38" xfId="0" applyFont="1" applyBorder="1" applyAlignment="1">
      <alignment horizontal="center"/>
    </xf>
    <xf numFmtId="0" fontId="14" fillId="0" borderId="0" xfId="0" applyFont="1"/>
    <xf numFmtId="0" fontId="3" fillId="0" borderId="38" xfId="0" applyFont="1" applyBorder="1"/>
    <xf numFmtId="0" fontId="3" fillId="0" borderId="38" xfId="0" applyFont="1" applyBorder="1" applyAlignment="1">
      <alignment horizontal="center"/>
    </xf>
    <xf numFmtId="44" fontId="3" fillId="0" borderId="36" xfId="0" applyNumberFormat="1" applyFont="1" applyBorder="1"/>
    <xf numFmtId="0" fontId="1" fillId="0" borderId="36" xfId="0" quotePrefix="1" applyFont="1" applyBorder="1" applyAlignment="1">
      <alignment horizontal="left"/>
    </xf>
    <xf numFmtId="44" fontId="3" fillId="0" borderId="9" xfId="0" applyNumberFormat="1" applyFont="1" applyBorder="1"/>
    <xf numFmtId="14" fontId="1" fillId="3" borderId="6" xfId="0" applyNumberFormat="1" applyFont="1" applyFill="1" applyBorder="1" applyAlignment="1">
      <alignment horizontal="left"/>
    </xf>
    <xf numFmtId="0" fontId="3" fillId="0" borderId="7" xfId="0" applyFont="1" applyBorder="1"/>
    <xf numFmtId="0" fontId="3" fillId="0" borderId="8" xfId="0" applyFont="1" applyBorder="1"/>
    <xf numFmtId="0" fontId="1" fillId="2" borderId="6" xfId="0" applyFont="1" applyFill="1" applyBorder="1" applyAlignment="1">
      <alignment horizontal="left"/>
    </xf>
    <xf numFmtId="49" fontId="1" fillId="3" borderId="6" xfId="0" quotePrefix="1" applyNumberFormat="1" applyFont="1" applyFill="1" applyBorder="1" applyAlignment="1">
      <alignment horizontal="left"/>
    </xf>
    <xf numFmtId="0" fontId="16" fillId="2" borderId="6" xfId="0" applyFont="1" applyFill="1" applyBorder="1" applyAlignment="1">
      <alignment horizontal="left"/>
    </xf>
    <xf numFmtId="0" fontId="16" fillId="0" borderId="7" xfId="0" applyFont="1" applyBorder="1"/>
    <xf numFmtId="0" fontId="16" fillId="0" borderId="8" xfId="0" applyFont="1" applyBorder="1"/>
    <xf numFmtId="44" fontId="1" fillId="2" borderId="14" xfId="0" applyNumberFormat="1" applyFont="1" applyFill="1" applyBorder="1" applyAlignment="1">
      <alignment horizontal="center"/>
    </xf>
    <xf numFmtId="0" fontId="3" fillId="0" borderId="15" xfId="0" applyFont="1" applyBorder="1"/>
    <xf numFmtId="44" fontId="1" fillId="0" borderId="16" xfId="0" applyNumberFormat="1" applyFont="1" applyBorder="1" applyAlignment="1">
      <alignment horizontal="center"/>
    </xf>
    <xf numFmtId="0" fontId="3" fillId="0" borderId="16" xfId="0" applyFont="1" applyBorder="1"/>
    <xf numFmtId="0" fontId="1" fillId="0" borderId="17" xfId="0" applyFont="1" applyBorder="1" applyAlignment="1">
      <alignment horizontal="center"/>
    </xf>
    <xf numFmtId="0" fontId="3" fillId="0" borderId="17" xfId="0" applyFont="1" applyBorder="1"/>
    <xf numFmtId="0" fontId="1" fillId="0" borderId="6" xfId="0" applyFont="1" applyBorder="1" applyAlignment="1">
      <alignment horizontal="left"/>
    </xf>
    <xf numFmtId="44" fontId="1" fillId="0" borderId="18" xfId="0" applyNumberFormat="1" applyFont="1" applyBorder="1" applyAlignment="1">
      <alignment horizontal="center"/>
    </xf>
    <xf numFmtId="0" fontId="3" fillId="0" borderId="18" xfId="0" applyFont="1" applyBorder="1"/>
    <xf numFmtId="44" fontId="1" fillId="0" borderId="17" xfId="0" applyNumberFormat="1" applyFont="1" applyBorder="1" applyAlignment="1">
      <alignment horizontal="center"/>
    </xf>
    <xf numFmtId="0" fontId="8" fillId="0" borderId="21" xfId="0" applyFont="1" applyBorder="1" applyAlignment="1">
      <alignment horizontal="left"/>
    </xf>
    <xf numFmtId="0" fontId="3" fillId="0" borderId="21" xfId="0" applyFont="1" applyBorder="1"/>
    <xf numFmtId="0" fontId="3" fillId="0" borderId="22" xfId="0" applyFont="1" applyBorder="1"/>
    <xf numFmtId="0" fontId="0" fillId="0" borderId="0" xfId="0"/>
    <xf numFmtId="0" fontId="3" fillId="0" borderId="5" xfId="0" applyFont="1" applyBorder="1"/>
    <xf numFmtId="0" fontId="1" fillId="0" borderId="0" xfId="0" applyFont="1" applyAlignment="1">
      <alignment wrapText="1"/>
    </xf>
    <xf numFmtId="44" fontId="1" fillId="0" borderId="23" xfId="0" applyNumberFormat="1" applyFont="1" applyBorder="1" applyAlignment="1">
      <alignment horizontal="center"/>
    </xf>
    <xf numFmtId="0" fontId="3" fillId="0" borderId="24" xfId="0" applyFont="1" applyBorder="1"/>
    <xf numFmtId="0" fontId="3" fillId="0" borderId="26" xfId="0" applyFont="1" applyBorder="1"/>
    <xf numFmtId="0" fontId="1" fillId="0" borderId="27" xfId="0" applyFont="1" applyBorder="1" applyAlignment="1">
      <alignment horizontal="left"/>
    </xf>
    <xf numFmtId="0" fontId="3" fillId="0" borderId="28" xfId="0" applyFont="1" applyBorder="1"/>
    <xf numFmtId="0" fontId="3" fillId="0" borderId="29" xfId="0" applyFont="1" applyBorder="1"/>
    <xf numFmtId="0" fontId="1" fillId="0" borderId="27" xfId="0" applyFont="1" applyBorder="1" applyAlignment="1">
      <alignment horizontal="right"/>
    </xf>
    <xf numFmtId="44" fontId="1" fillId="0" borderId="27" xfId="0" applyNumberFormat="1" applyFont="1" applyBorder="1" applyAlignment="1">
      <alignment horizontal="center"/>
    </xf>
    <xf numFmtId="0" fontId="1" fillId="0" borderId="27" xfId="0" applyFont="1" applyBorder="1" applyAlignment="1">
      <alignment horizontal="center"/>
    </xf>
    <xf numFmtId="44" fontId="1" fillId="2" borderId="27" xfId="0" applyNumberFormat="1" applyFont="1" applyFill="1" applyBorder="1" applyAlignment="1">
      <alignment horizontal="center"/>
    </xf>
    <xf numFmtId="0" fontId="5" fillId="0" borderId="0" xfId="0" applyFont="1" applyAlignment="1">
      <alignment horizontal="left" vertical="center"/>
    </xf>
    <xf numFmtId="14" fontId="1" fillId="2" borderId="27" xfId="0" applyNumberFormat="1" applyFont="1" applyFill="1" applyBorder="1" applyAlignment="1">
      <alignment horizontal="center" vertical="center"/>
    </xf>
    <xf numFmtId="0" fontId="1" fillId="2" borderId="27" xfId="0" applyFont="1" applyFill="1" applyBorder="1" applyAlignment="1">
      <alignment horizontal="center" vertical="center"/>
    </xf>
    <xf numFmtId="0" fontId="11" fillId="0" borderId="31" xfId="0" applyFont="1" applyBorder="1" applyAlignment="1">
      <alignment horizontal="center" vertical="top" wrapText="1"/>
    </xf>
    <xf numFmtId="0" fontId="3" fillId="0" borderId="32" xfId="0" applyFont="1" applyBorder="1"/>
    <xf numFmtId="44" fontId="11" fillId="0" borderId="31" xfId="0" applyNumberFormat="1" applyFont="1" applyBorder="1" applyAlignment="1">
      <alignment horizontal="center" vertical="center" wrapText="1"/>
    </xf>
    <xf numFmtId="0" fontId="5" fillId="0" borderId="17" xfId="0" applyFont="1" applyBorder="1" applyAlignment="1">
      <alignment horizontal="left" vertical="center"/>
    </xf>
    <xf numFmtId="0" fontId="10" fillId="0" borderId="27" xfId="0" applyFont="1" applyBorder="1" applyAlignment="1">
      <alignment horizontal="center"/>
    </xf>
    <xf numFmtId="0" fontId="11" fillId="0" borderId="31" xfId="0" applyFont="1" applyBorder="1" applyAlignment="1">
      <alignment horizontal="center" vertical="center" wrapText="1"/>
    </xf>
    <xf numFmtId="0" fontId="11" fillId="0" borderId="27" xfId="0" applyFont="1" applyBorder="1" applyAlignment="1">
      <alignment horizontal="center" vertical="top"/>
    </xf>
    <xf numFmtId="0" fontId="1" fillId="8" borderId="27" xfId="0" quotePrefix="1" applyFont="1" applyFill="1" applyBorder="1" applyAlignment="1">
      <alignment horizontal="center" vertical="center"/>
    </xf>
    <xf numFmtId="0" fontId="3" fillId="9" borderId="29" xfId="0" applyFont="1" applyFill="1" applyBorder="1"/>
    <xf numFmtId="14" fontId="1" fillId="8" borderId="27" xfId="0" applyNumberFormat="1" applyFont="1" applyFill="1" applyBorder="1" applyAlignment="1">
      <alignment horizontal="center" vertical="center"/>
    </xf>
    <xf numFmtId="44" fontId="1" fillId="0" borderId="14" xfId="0" applyNumberFormat="1" applyFont="1" applyFill="1" applyBorder="1" applyAlignment="1">
      <alignment horizontal="center"/>
    </xf>
    <xf numFmtId="0" fontId="3" fillId="0" borderId="15" xfId="0" applyFont="1" applyFill="1" applyBorder="1"/>
  </cellXfs>
  <cellStyles count="3">
    <cellStyle name="Currency" xfId="1" builtinId="4"/>
    <cellStyle name="Normal" xfId="0" builtinId="0"/>
    <cellStyle name="Normal 2" xfId="2" xr:uid="{F51D7BC7-A661-460A-ADAD-C1BBA1EF00BC}"/>
  </cellStyles>
  <dxfs count="2">
    <dxf>
      <fill>
        <patternFill patternType="solid">
          <fgColor rgb="FFF4C7C3"/>
          <bgColor rgb="FFF4C7C3"/>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oneCellAnchor>
    <xdr:from>
      <xdr:col>13</xdr:col>
      <xdr:colOff>28575</xdr:colOff>
      <xdr:row>14</xdr:row>
      <xdr:rowOff>19050</xdr:rowOff>
    </xdr:from>
    <xdr:ext cx="5476875" cy="6762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2612325" y="3446625"/>
          <a:ext cx="5467350" cy="666750"/>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lnSpc>
              <a:spcPct val="125000"/>
            </a:lnSpc>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The undersigned Subcontractor certifies that to the best of the Subcontractor's knowledge, information and belief the Work covered by this Application for Payment has been completed in accordance with the Subcontract Documents, that all amounts have been paid by the Subcontractor for Work for which previous Certificates for Payment were issued and payments received from the Owner, and that current payment shown herein is now due.</a:t>
          </a:r>
          <a:endParaRPr sz="1100"/>
        </a:p>
      </xdr:txBody>
    </xdr:sp>
    <xdr:clientData fLocksWithSheet="0"/>
  </xdr:oneCellAnchor>
  <xdr:oneCellAnchor>
    <xdr:from>
      <xdr:col>3</xdr:col>
      <xdr:colOff>419100</xdr:colOff>
      <xdr:row>0</xdr:row>
      <xdr:rowOff>47625</xdr:rowOff>
    </xdr:from>
    <xdr:ext cx="4781550" cy="581025"/>
    <xdr:sp macro="" textlink="">
      <xdr:nvSpPr>
        <xdr:cNvPr id="4" name="Shape 4">
          <a:extLst>
            <a:ext uri="{FF2B5EF4-FFF2-40B4-BE49-F238E27FC236}">
              <a16:creationId xmlns:a16="http://schemas.microsoft.com/office/drawing/2014/main" id="{00000000-0008-0000-0000-000004000000}"/>
            </a:ext>
          </a:extLst>
        </xdr:cNvPr>
        <xdr:cNvSpPr txBox="1"/>
      </xdr:nvSpPr>
      <xdr:spPr>
        <a:xfrm>
          <a:off x="2959988" y="3494250"/>
          <a:ext cx="4772025" cy="571500"/>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2800"/>
            <a:buFont typeface="Arial"/>
            <a:buNone/>
          </a:pPr>
          <a:r>
            <a:rPr lang="en-US" sz="2800">
              <a:solidFill>
                <a:schemeClr val="dk1"/>
              </a:solidFill>
              <a:latin typeface="Arial"/>
              <a:ea typeface="Arial"/>
              <a:cs typeface="Arial"/>
              <a:sym typeface="Arial"/>
            </a:rPr>
            <a:t>AIA® Document G702</a:t>
          </a:r>
          <a:r>
            <a:rPr lang="en-US" sz="2800" baseline="30000">
              <a:solidFill>
                <a:schemeClr val="dk1"/>
              </a:solidFill>
              <a:latin typeface="Arial"/>
              <a:ea typeface="Arial"/>
              <a:cs typeface="Arial"/>
              <a:sym typeface="Arial"/>
            </a:rPr>
            <a:t>TM</a:t>
          </a:r>
          <a:r>
            <a:rPr lang="en-US" sz="2800">
              <a:solidFill>
                <a:schemeClr val="dk1"/>
              </a:solidFill>
              <a:latin typeface="Arial"/>
              <a:ea typeface="Arial"/>
              <a:cs typeface="Arial"/>
              <a:sym typeface="Arial"/>
            </a:rPr>
            <a:t> - 1992</a:t>
          </a:r>
          <a:endParaRPr sz="1400"/>
        </a:p>
      </xdr:txBody>
    </xdr:sp>
    <xdr:clientData fLocksWithSheet="0"/>
  </xdr:oneCellAnchor>
  <xdr:oneCellAnchor>
    <xdr:from>
      <xdr:col>13</xdr:col>
      <xdr:colOff>38100</xdr:colOff>
      <xdr:row>28</xdr:row>
      <xdr:rowOff>161925</xdr:rowOff>
    </xdr:from>
    <xdr:ext cx="5476875" cy="1009650"/>
    <xdr:sp macro="" textlink="">
      <xdr:nvSpPr>
        <xdr:cNvPr id="5" name="Shape 5">
          <a:extLst>
            <a:ext uri="{FF2B5EF4-FFF2-40B4-BE49-F238E27FC236}">
              <a16:creationId xmlns:a16="http://schemas.microsoft.com/office/drawing/2014/main" id="{00000000-0008-0000-0000-000005000000}"/>
            </a:ext>
          </a:extLst>
        </xdr:cNvPr>
        <xdr:cNvSpPr txBox="1"/>
      </xdr:nvSpPr>
      <xdr:spPr>
        <a:xfrm>
          <a:off x="2612325" y="3279938"/>
          <a:ext cx="5467350" cy="1000125"/>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lnSpc>
              <a:spcPct val="100000"/>
            </a:lnSpc>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In accordance with the Contract Documents, based on on-site observations and the data comprising this applications, the Architect certifies to the Owner that to the best of the Architect's knowledge, information and belief the Work has progressed as indicated, the quality of the Work is in accordance with the Contract Documents, and the Contractor is entitled to payment of the AMOUNT CERTIFIED.</a:t>
          </a:r>
          <a:endParaRPr sz="1100"/>
        </a:p>
      </xdr:txBody>
    </xdr:sp>
    <xdr:clientData fLocksWithSheet="0"/>
  </xdr:oneCellAnchor>
  <xdr:oneCellAnchor>
    <xdr:from>
      <xdr:col>13</xdr:col>
      <xdr:colOff>19050</xdr:colOff>
      <xdr:row>35</xdr:row>
      <xdr:rowOff>0</xdr:rowOff>
    </xdr:from>
    <xdr:ext cx="5648325" cy="485775"/>
    <xdr:sp macro="" textlink="">
      <xdr:nvSpPr>
        <xdr:cNvPr id="6" name="Shape 6">
          <a:extLst>
            <a:ext uri="{FF2B5EF4-FFF2-40B4-BE49-F238E27FC236}">
              <a16:creationId xmlns:a16="http://schemas.microsoft.com/office/drawing/2014/main" id="{00000000-0008-0000-0000-000006000000}"/>
            </a:ext>
          </a:extLst>
        </xdr:cNvPr>
        <xdr:cNvSpPr txBox="1"/>
      </xdr:nvSpPr>
      <xdr:spPr>
        <a:xfrm>
          <a:off x="2526600" y="3541875"/>
          <a:ext cx="5638800" cy="476250"/>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lnSpc>
              <a:spcPct val="100000"/>
            </a:lnSpc>
            <a:spcBef>
              <a:spcPts val="0"/>
            </a:spcBef>
            <a:spcAft>
              <a:spcPts val="0"/>
            </a:spcAft>
            <a:buClr>
              <a:schemeClr val="dk1"/>
            </a:buClr>
            <a:buSzPts val="1050"/>
            <a:buFont typeface="Arial"/>
            <a:buNone/>
          </a:pPr>
          <a:r>
            <a:rPr lang="en-US" sz="1050">
              <a:solidFill>
                <a:schemeClr val="dk1"/>
              </a:solidFill>
              <a:latin typeface="Arial"/>
              <a:ea typeface="Arial"/>
              <a:cs typeface="Arial"/>
              <a:sym typeface="Arial"/>
            </a:rPr>
            <a:t>(Attach explanation if amount certified differs from the amount applied for Initial all figures on the Application and on the Continuation Sheet that are changed to conform to the amount certified.)</a:t>
          </a:r>
          <a:endParaRPr sz="1050"/>
        </a:p>
      </xdr:txBody>
    </xdr:sp>
    <xdr:clientData fLocksWithSheet="0"/>
  </xdr:oneCellAnchor>
  <xdr:oneCellAnchor>
    <xdr:from>
      <xdr:col>13</xdr:col>
      <xdr:colOff>19050</xdr:colOff>
      <xdr:row>39</xdr:row>
      <xdr:rowOff>19050</xdr:rowOff>
    </xdr:from>
    <xdr:ext cx="5648325" cy="628650"/>
    <xdr:sp macro="" textlink="">
      <xdr:nvSpPr>
        <xdr:cNvPr id="7" name="Shape 7">
          <a:extLst>
            <a:ext uri="{FF2B5EF4-FFF2-40B4-BE49-F238E27FC236}">
              <a16:creationId xmlns:a16="http://schemas.microsoft.com/office/drawing/2014/main" id="{00000000-0008-0000-0000-000007000000}"/>
            </a:ext>
          </a:extLst>
        </xdr:cNvPr>
        <xdr:cNvSpPr txBox="1"/>
      </xdr:nvSpPr>
      <xdr:spPr>
        <a:xfrm>
          <a:off x="2526600" y="3470438"/>
          <a:ext cx="5638800" cy="619125"/>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lnSpc>
              <a:spcPct val="100000"/>
            </a:lnSpc>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This Certificate is not negotiable.  The AMOUNT CERTIFIED is payable only to the Contractor named herein.  Issuance, payment and acceptance of payment are without prejudice to any rights of the Owner or Contractor under this Contract.</a:t>
          </a: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2</xdr:row>
      <xdr:rowOff>0</xdr:rowOff>
    </xdr:from>
    <xdr:ext cx="8048625" cy="723900"/>
    <xdr:sp macro="" textlink="">
      <xdr:nvSpPr>
        <xdr:cNvPr id="8" name="Shape 8">
          <a:extLst>
            <a:ext uri="{FF2B5EF4-FFF2-40B4-BE49-F238E27FC236}">
              <a16:creationId xmlns:a16="http://schemas.microsoft.com/office/drawing/2014/main" id="{00000000-0008-0000-0100-000008000000}"/>
            </a:ext>
          </a:extLst>
        </xdr:cNvPr>
        <xdr:cNvSpPr txBox="1"/>
      </xdr:nvSpPr>
      <xdr:spPr>
        <a:xfrm>
          <a:off x="1326450" y="3422813"/>
          <a:ext cx="8039100" cy="714375"/>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AIA Document, G702</a:t>
          </a:r>
          <a:r>
            <a:rPr lang="en-US" sz="1100" baseline="30000">
              <a:solidFill>
                <a:schemeClr val="dk1"/>
              </a:solidFill>
              <a:latin typeface="Arial"/>
              <a:ea typeface="Arial"/>
              <a:cs typeface="Arial"/>
              <a:sym typeface="Arial"/>
            </a:rPr>
            <a:t>TM</a:t>
          </a:r>
          <a:r>
            <a:rPr lang="en-US" sz="1100">
              <a:solidFill>
                <a:schemeClr val="dk1"/>
              </a:solidFill>
              <a:latin typeface="Arial"/>
              <a:ea typeface="Arial"/>
              <a:cs typeface="Arial"/>
              <a:sym typeface="Arial"/>
            </a:rPr>
            <a:t> - 1992, Application and Certification for Payment, or G736</a:t>
          </a:r>
          <a:r>
            <a:rPr lang="en-US" sz="1100" baseline="30000">
              <a:solidFill>
                <a:schemeClr val="dk1"/>
              </a:solidFill>
              <a:latin typeface="Arial"/>
              <a:ea typeface="Arial"/>
              <a:cs typeface="Arial"/>
              <a:sym typeface="Arial"/>
            </a:rPr>
            <a:t>TM</a:t>
          </a:r>
          <a:r>
            <a:rPr lang="en-US" sz="1100">
              <a:solidFill>
                <a:schemeClr val="dk1"/>
              </a:solidFill>
              <a:latin typeface="Arial"/>
              <a:ea typeface="Arial"/>
              <a:cs typeface="Arial"/>
              <a:sym typeface="Arial"/>
            </a:rPr>
            <a:t> - 2009, </a:t>
          </a:r>
          <a:endParaRPr sz="1400"/>
        </a:p>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Project Application and Project Certification for Payment, Construction Manaager as Adviser Edition, containing Contractor's signed certification is attached.</a:t>
          </a:r>
          <a:endParaRPr sz="1400"/>
        </a:p>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In Tabulations below, amounts are in US dollars.</a:t>
          </a:r>
          <a:endParaRPr sz="1400"/>
        </a:p>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Use Column I on Contracts where variable retainage for line items may apply.</a:t>
          </a:r>
          <a:endParaRPr sz="1100">
            <a:latin typeface="Arial"/>
            <a:ea typeface="Arial"/>
            <a:cs typeface="Arial"/>
            <a:sym typeface="Arial"/>
          </a:endParaRPr>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G1004"/>
  <sheetViews>
    <sheetView tabSelected="1" workbookViewId="0">
      <selection activeCell="G17" sqref="G17"/>
    </sheetView>
  </sheetViews>
  <sheetFormatPr baseColWidth="10" defaultColWidth="14.5" defaultRowHeight="15" customHeight="1"/>
  <cols>
    <col min="1" max="1" width="4.33203125" customWidth="1"/>
    <col min="2" max="3" width="6.6640625" customWidth="1"/>
    <col min="4" max="4" width="15" customWidth="1"/>
    <col min="5" max="5" width="1.5" customWidth="1"/>
    <col min="6" max="6" width="15.6640625" customWidth="1"/>
    <col min="7" max="7" width="15.5" customWidth="1"/>
    <col min="8" max="8" width="2" customWidth="1"/>
    <col min="9" max="9" width="15.6640625" customWidth="1"/>
    <col min="10" max="10" width="1.5" customWidth="1"/>
    <col min="11" max="11" width="15.6640625" customWidth="1"/>
    <col min="12" max="15" width="1.6640625" customWidth="1"/>
    <col min="16" max="16" width="2.5" customWidth="1"/>
    <col min="17" max="17" width="4.6640625" customWidth="1"/>
    <col min="18" max="18" width="7.33203125" customWidth="1"/>
    <col min="19" max="19" width="3.5" customWidth="1"/>
    <col min="20" max="20" width="20.83203125" customWidth="1"/>
    <col min="21" max="21" width="2.1640625" customWidth="1"/>
    <col min="22" max="22" width="3.5" customWidth="1"/>
    <col min="23" max="23" width="5.5" customWidth="1"/>
    <col min="24" max="24" width="2.83203125" customWidth="1"/>
    <col min="25" max="25" width="4.6640625" customWidth="1"/>
    <col min="26" max="26" width="3.33203125" customWidth="1"/>
    <col min="27" max="27" width="15.5" customWidth="1"/>
    <col min="28" max="28" width="2.1640625" customWidth="1"/>
    <col min="29" max="29" width="3.83203125" customWidth="1"/>
    <col min="30" max="32" width="8.6640625" customWidth="1"/>
    <col min="33" max="33" width="12.5" customWidth="1"/>
  </cols>
  <sheetData>
    <row r="1" spans="1:29" ht="54.75" customHeight="1">
      <c r="A1" s="1"/>
      <c r="B1" s="2"/>
      <c r="C1" s="2"/>
      <c r="D1" s="2"/>
      <c r="E1" s="2"/>
      <c r="F1" s="2"/>
      <c r="G1" s="2"/>
      <c r="H1" s="2"/>
      <c r="I1" s="2"/>
      <c r="J1" s="2"/>
      <c r="K1" s="2"/>
      <c r="L1" s="2"/>
      <c r="M1" s="2"/>
      <c r="N1" s="2"/>
      <c r="O1" s="2"/>
      <c r="P1" s="2"/>
      <c r="Q1" s="2"/>
      <c r="R1" s="2"/>
      <c r="S1" s="2"/>
      <c r="T1" s="2"/>
      <c r="U1" s="2"/>
      <c r="V1" s="2"/>
      <c r="W1" s="2"/>
      <c r="X1" s="2"/>
      <c r="Y1" s="2"/>
      <c r="Z1" s="2"/>
      <c r="AA1" s="2"/>
      <c r="AB1" s="2"/>
      <c r="AC1" s="3"/>
    </row>
    <row r="2" spans="1:29" ht="24.75" customHeight="1">
      <c r="A2" s="4" t="s">
        <v>0</v>
      </c>
      <c r="AC2" s="5"/>
    </row>
    <row r="3" spans="1:29">
      <c r="A3" s="6" t="s">
        <v>1</v>
      </c>
      <c r="D3" s="101"/>
      <c r="E3" s="99"/>
      <c r="F3" s="99"/>
      <c r="G3" s="100"/>
      <c r="I3" s="7" t="s">
        <v>2</v>
      </c>
      <c r="K3" s="101"/>
      <c r="L3" s="99"/>
      <c r="M3" s="99"/>
      <c r="N3" s="99"/>
      <c r="O3" s="99"/>
      <c r="P3" s="99"/>
      <c r="Q3" s="99"/>
      <c r="R3" s="100"/>
      <c r="T3" s="8" t="s">
        <v>3</v>
      </c>
      <c r="U3" s="102"/>
      <c r="V3" s="99"/>
      <c r="W3" s="99"/>
      <c r="X3" s="99"/>
      <c r="Y3" s="99"/>
      <c r="Z3" s="100"/>
      <c r="AC3" s="9" t="s">
        <v>4</v>
      </c>
    </row>
    <row r="4" spans="1:29">
      <c r="A4" s="6"/>
      <c r="D4" s="101"/>
      <c r="E4" s="99"/>
      <c r="F4" s="99"/>
      <c r="G4" s="100"/>
      <c r="I4" s="7"/>
      <c r="K4" s="101"/>
      <c r="L4" s="99"/>
      <c r="M4" s="99"/>
      <c r="N4" s="99"/>
      <c r="O4" s="99"/>
      <c r="P4" s="99"/>
      <c r="Q4" s="99"/>
      <c r="R4" s="100"/>
      <c r="AA4" s="7" t="s">
        <v>5</v>
      </c>
      <c r="AB4" s="8" t="s">
        <v>6</v>
      </c>
      <c r="AC4" s="10"/>
    </row>
    <row r="5" spans="1:29">
      <c r="A5" s="6"/>
      <c r="D5" s="101"/>
      <c r="E5" s="99"/>
      <c r="F5" s="99"/>
      <c r="G5" s="100"/>
      <c r="I5" s="7"/>
      <c r="K5" s="101"/>
      <c r="L5" s="99"/>
      <c r="M5" s="99"/>
      <c r="N5" s="99"/>
      <c r="O5" s="99"/>
      <c r="P5" s="99"/>
      <c r="Q5" s="99"/>
      <c r="R5" s="100"/>
      <c r="T5" s="8" t="s">
        <v>7</v>
      </c>
      <c r="U5" s="98"/>
      <c r="V5" s="99"/>
      <c r="W5" s="99"/>
      <c r="X5" s="99"/>
      <c r="Y5" s="99"/>
      <c r="Z5" s="100"/>
      <c r="AA5" s="7" t="s">
        <v>8</v>
      </c>
      <c r="AB5" s="8" t="s">
        <v>6</v>
      </c>
      <c r="AC5" s="10"/>
    </row>
    <row r="6" spans="1:29">
      <c r="A6" s="6"/>
      <c r="I6" s="7"/>
      <c r="T6" s="8" t="s">
        <v>9</v>
      </c>
      <c r="U6" s="101"/>
      <c r="V6" s="99"/>
      <c r="W6" s="99"/>
      <c r="X6" s="99"/>
      <c r="Y6" s="99"/>
      <c r="Z6" s="100"/>
      <c r="AA6" s="7" t="s">
        <v>10</v>
      </c>
      <c r="AB6" s="8" t="s">
        <v>6</v>
      </c>
      <c r="AC6" s="10"/>
    </row>
    <row r="7" spans="1:29">
      <c r="A7" s="6" t="s">
        <v>11</v>
      </c>
      <c r="D7" s="103"/>
      <c r="E7" s="104"/>
      <c r="F7" s="104"/>
      <c r="G7" s="105"/>
      <c r="I7" s="7" t="s">
        <v>12</v>
      </c>
      <c r="K7" s="103"/>
      <c r="L7" s="104"/>
      <c r="M7" s="104"/>
      <c r="N7" s="104"/>
      <c r="O7" s="104"/>
      <c r="P7" s="104"/>
      <c r="Q7" s="104"/>
      <c r="R7" s="105"/>
      <c r="T7" s="8" t="s">
        <v>13</v>
      </c>
      <c r="U7" s="101"/>
      <c r="V7" s="99"/>
      <c r="W7" s="99"/>
      <c r="X7" s="99"/>
      <c r="Y7" s="99"/>
      <c r="Z7" s="100"/>
      <c r="AA7" s="7" t="s">
        <v>14</v>
      </c>
      <c r="AB7" s="8" t="s">
        <v>6</v>
      </c>
      <c r="AC7" s="10"/>
    </row>
    <row r="8" spans="1:29">
      <c r="A8" s="6"/>
      <c r="D8" s="103"/>
      <c r="E8" s="104"/>
      <c r="F8" s="104"/>
      <c r="G8" s="105"/>
      <c r="K8" s="103"/>
      <c r="L8" s="104"/>
      <c r="M8" s="104"/>
      <c r="N8" s="104"/>
      <c r="O8" s="104"/>
      <c r="P8" s="104"/>
      <c r="Q8" s="104"/>
      <c r="R8" s="105"/>
      <c r="T8" s="8" t="s">
        <v>15</v>
      </c>
      <c r="U8" s="101"/>
      <c r="V8" s="99"/>
      <c r="W8" s="99"/>
      <c r="X8" s="99"/>
      <c r="Y8" s="99"/>
      <c r="Z8" s="100"/>
      <c r="AA8" s="7" t="s">
        <v>16</v>
      </c>
      <c r="AB8" s="8" t="s">
        <v>6</v>
      </c>
      <c r="AC8" s="11"/>
    </row>
    <row r="9" spans="1:29">
      <c r="A9" s="6"/>
      <c r="D9" s="103"/>
      <c r="E9" s="104"/>
      <c r="F9" s="104"/>
      <c r="G9" s="105"/>
      <c r="K9" s="103"/>
      <c r="L9" s="104"/>
      <c r="M9" s="104"/>
      <c r="N9" s="104"/>
      <c r="O9" s="104"/>
      <c r="P9" s="104"/>
      <c r="Q9" s="104"/>
      <c r="R9" s="105"/>
      <c r="AC9" s="5"/>
    </row>
    <row r="10" spans="1:29" ht="3" customHeight="1">
      <c r="A10" s="6"/>
      <c r="D10" s="71"/>
      <c r="E10" s="70"/>
      <c r="F10" s="70"/>
      <c r="G10" s="70"/>
      <c r="K10" s="71"/>
      <c r="L10" s="70"/>
      <c r="M10" s="70"/>
      <c r="N10" s="70"/>
      <c r="O10" s="70"/>
      <c r="P10" s="70"/>
      <c r="Q10" s="70"/>
      <c r="R10" s="70"/>
      <c r="AC10" s="5"/>
    </row>
    <row r="11" spans="1:29">
      <c r="A11" s="6" t="s">
        <v>11</v>
      </c>
      <c r="D11" s="101"/>
      <c r="E11" s="99"/>
      <c r="F11" s="99"/>
      <c r="G11" s="100"/>
      <c r="I11" s="7"/>
      <c r="K11" s="112"/>
      <c r="L11" s="99"/>
      <c r="M11" s="99"/>
      <c r="N11" s="99"/>
      <c r="O11" s="99"/>
      <c r="P11" s="99"/>
      <c r="Q11" s="99"/>
      <c r="R11" s="100"/>
      <c r="T11" s="8"/>
      <c r="U11" s="112"/>
      <c r="V11" s="99"/>
      <c r="W11" s="99"/>
      <c r="X11" s="99"/>
      <c r="Y11" s="99"/>
      <c r="Z11" s="100"/>
      <c r="AA11" s="7" t="s">
        <v>14</v>
      </c>
      <c r="AB11" s="8" t="s">
        <v>6</v>
      </c>
      <c r="AC11" s="10"/>
    </row>
    <row r="12" spans="1:29">
      <c r="A12" s="6"/>
      <c r="D12" s="101"/>
      <c r="E12" s="99"/>
      <c r="F12" s="99"/>
      <c r="G12" s="100"/>
      <c r="K12" s="112"/>
      <c r="L12" s="99"/>
      <c r="M12" s="99"/>
      <c r="N12" s="99"/>
      <c r="O12" s="99"/>
      <c r="P12" s="99"/>
      <c r="Q12" s="99"/>
      <c r="R12" s="100"/>
      <c r="T12" s="8"/>
      <c r="U12" s="112"/>
      <c r="V12" s="99"/>
      <c r="W12" s="99"/>
      <c r="X12" s="99"/>
      <c r="Y12" s="99"/>
      <c r="Z12" s="100"/>
      <c r="AA12" s="7" t="s">
        <v>16</v>
      </c>
      <c r="AB12" s="8" t="s">
        <v>6</v>
      </c>
      <c r="AC12" s="11"/>
    </row>
    <row r="13" spans="1:29">
      <c r="A13" s="6"/>
      <c r="D13" s="101"/>
      <c r="E13" s="99"/>
      <c r="F13" s="99"/>
      <c r="G13" s="100"/>
      <c r="K13" s="112"/>
      <c r="L13" s="99"/>
      <c r="M13" s="99"/>
      <c r="N13" s="99"/>
      <c r="O13" s="99"/>
      <c r="P13" s="99"/>
      <c r="Q13" s="99"/>
      <c r="R13" s="100"/>
      <c r="AC13" s="5"/>
    </row>
    <row r="14" spans="1:29">
      <c r="A14" s="6"/>
      <c r="T14" s="12"/>
      <c r="U14" s="12"/>
      <c r="V14" s="12"/>
      <c r="W14" s="12"/>
      <c r="X14" s="12"/>
      <c r="Y14" s="12"/>
      <c r="Z14" s="12"/>
      <c r="AA14" s="12"/>
      <c r="AB14" s="12"/>
      <c r="AC14" s="13"/>
    </row>
    <row r="15" spans="1:29" ht="35.25" customHeight="1">
      <c r="A15" s="14" t="s">
        <v>17</v>
      </c>
      <c r="B15" s="15"/>
      <c r="C15" s="15"/>
      <c r="D15" s="15"/>
      <c r="E15" s="15"/>
      <c r="F15" s="15"/>
      <c r="G15" s="15"/>
      <c r="H15" s="15"/>
      <c r="I15" s="15"/>
      <c r="J15" s="15"/>
      <c r="K15" s="15"/>
      <c r="L15" s="15"/>
      <c r="M15" s="15"/>
      <c r="N15" s="15"/>
      <c r="O15" s="15"/>
      <c r="P15" s="15"/>
      <c r="Q15" s="15"/>
      <c r="R15" s="15"/>
      <c r="S15" s="15"/>
      <c r="AC15" s="5"/>
    </row>
    <row r="16" spans="1:29" ht="20.25" customHeight="1">
      <c r="A16" s="6" t="s">
        <v>18</v>
      </c>
      <c r="AC16" s="5"/>
    </row>
    <row r="17" spans="1:29" ht="21.75" customHeight="1">
      <c r="A17" s="16" t="s">
        <v>19</v>
      </c>
      <c r="AC17" s="5"/>
    </row>
    <row r="18" spans="1:29" ht="16.5" customHeight="1">
      <c r="A18" s="17" t="s">
        <v>20</v>
      </c>
      <c r="J18" s="106">
        <f>'703'!C66</f>
        <v>0</v>
      </c>
      <c r="K18" s="107"/>
      <c r="AC18" s="5"/>
    </row>
    <row r="19" spans="1:29" ht="16.5" customHeight="1">
      <c r="A19" s="17" t="s">
        <v>21</v>
      </c>
      <c r="J19" s="108">
        <v>0</v>
      </c>
      <c r="K19" s="109"/>
      <c r="O19" s="18" t="s">
        <v>11</v>
      </c>
      <c r="AC19" s="5"/>
    </row>
    <row r="20" spans="1:29" ht="16.5" customHeight="1">
      <c r="A20" s="6" t="s">
        <v>22</v>
      </c>
      <c r="J20" s="108">
        <f>SUM(J18:K19)</f>
        <v>0</v>
      </c>
      <c r="K20" s="109"/>
      <c r="O20" s="8" t="s">
        <v>23</v>
      </c>
      <c r="Q20" s="110"/>
      <c r="R20" s="111"/>
      <c r="S20" s="111"/>
      <c r="T20" s="111"/>
      <c r="W20" s="8" t="s">
        <v>24</v>
      </c>
      <c r="X20" s="110"/>
      <c r="Y20" s="111"/>
      <c r="Z20" s="111"/>
      <c r="AA20" s="111"/>
      <c r="AC20" s="5"/>
    </row>
    <row r="21" spans="1:29" ht="16.5" customHeight="1">
      <c r="A21" s="6" t="s">
        <v>25</v>
      </c>
      <c r="J21" s="113">
        <f>'703'!G66</f>
        <v>0</v>
      </c>
      <c r="K21" s="114"/>
      <c r="O21" s="8" t="s">
        <v>26</v>
      </c>
      <c r="AC21" s="5"/>
    </row>
    <row r="22" spans="1:29">
      <c r="A22" s="17" t="s">
        <v>27</v>
      </c>
      <c r="O22" s="8" t="s">
        <v>28</v>
      </c>
      <c r="AC22" s="5"/>
    </row>
    <row r="23" spans="1:29">
      <c r="A23" s="19" t="s">
        <v>29</v>
      </c>
      <c r="B23" s="20"/>
      <c r="C23" s="8" t="s">
        <v>30</v>
      </c>
      <c r="O23" s="8" t="s">
        <v>31</v>
      </c>
      <c r="AC23" s="5"/>
    </row>
    <row r="24" spans="1:29">
      <c r="A24" s="19"/>
      <c r="B24" s="8" t="s">
        <v>32</v>
      </c>
      <c r="F24" s="21"/>
      <c r="G24" s="22" t="s">
        <v>33</v>
      </c>
      <c r="H24" s="22" t="s">
        <v>34</v>
      </c>
      <c r="I24" s="115"/>
      <c r="J24" s="111"/>
      <c r="O24" s="8" t="s">
        <v>35</v>
      </c>
      <c r="T24" s="8" t="s">
        <v>36</v>
      </c>
      <c r="AC24" s="5"/>
    </row>
    <row r="25" spans="1:29" ht="15.75" customHeight="1">
      <c r="A25" s="19" t="s">
        <v>37</v>
      </c>
      <c r="B25" s="23"/>
      <c r="C25" s="8" t="s">
        <v>38</v>
      </c>
      <c r="AC25" s="5"/>
    </row>
    <row r="26" spans="1:29" ht="15.75" customHeight="1">
      <c r="A26" s="6"/>
      <c r="B26" s="8" t="s">
        <v>39</v>
      </c>
      <c r="F26" s="21"/>
      <c r="G26" s="22" t="s">
        <v>33</v>
      </c>
      <c r="H26" s="22" t="s">
        <v>34</v>
      </c>
      <c r="I26" s="115">
        <f>F26*B25%</f>
        <v>0</v>
      </c>
      <c r="J26" s="111"/>
      <c r="O26" s="8" t="s">
        <v>40</v>
      </c>
      <c r="AC26" s="5"/>
    </row>
    <row r="27" spans="1:29" ht="15.75" customHeight="1">
      <c r="A27" s="6" t="s">
        <v>41</v>
      </c>
      <c r="J27" s="108">
        <f>'703'!J66</f>
        <v>0</v>
      </c>
      <c r="K27" s="109"/>
      <c r="O27" s="24" t="s">
        <v>42</v>
      </c>
      <c r="P27" s="24"/>
      <c r="Q27" s="24"/>
      <c r="R27" s="24"/>
      <c r="S27" s="24"/>
      <c r="T27" s="24"/>
      <c r="U27" s="24"/>
      <c r="V27" s="24"/>
      <c r="W27" s="24"/>
      <c r="X27" s="24"/>
      <c r="Y27" s="24"/>
      <c r="Z27" s="24"/>
      <c r="AA27" s="24"/>
      <c r="AB27" s="24"/>
      <c r="AC27" s="25"/>
    </row>
    <row r="28" spans="1:29" ht="6.75" customHeight="1">
      <c r="A28" s="6"/>
      <c r="O28" s="116" t="s">
        <v>43</v>
      </c>
      <c r="P28" s="117"/>
      <c r="Q28" s="117"/>
      <c r="R28" s="117"/>
      <c r="S28" s="117"/>
      <c r="T28" s="117"/>
      <c r="U28" s="117"/>
      <c r="V28" s="117"/>
      <c r="W28" s="117"/>
      <c r="X28" s="117"/>
      <c r="Y28" s="117"/>
      <c r="Z28" s="117"/>
      <c r="AA28" s="117"/>
      <c r="AB28" s="117"/>
      <c r="AC28" s="118"/>
    </row>
    <row r="29" spans="1:29" ht="15.75" customHeight="1">
      <c r="A29" s="17" t="s">
        <v>44</v>
      </c>
      <c r="J29" s="108">
        <f>J21-J27</f>
        <v>0</v>
      </c>
      <c r="K29" s="109"/>
      <c r="O29" s="119"/>
      <c r="P29" s="119"/>
      <c r="Q29" s="119"/>
      <c r="R29" s="119"/>
      <c r="S29" s="119"/>
      <c r="T29" s="119"/>
      <c r="U29" s="119"/>
      <c r="V29" s="119"/>
      <c r="W29" s="119"/>
      <c r="X29" s="119"/>
      <c r="Y29" s="119"/>
      <c r="Z29" s="119"/>
      <c r="AA29" s="119"/>
      <c r="AB29" s="119"/>
      <c r="AC29" s="120"/>
    </row>
    <row r="30" spans="1:29" ht="15.75" customHeight="1">
      <c r="A30" s="6"/>
      <c r="B30" s="8" t="s">
        <v>45</v>
      </c>
      <c r="G30" s="121"/>
      <c r="H30" s="119"/>
      <c r="I30" s="119"/>
      <c r="AC30" s="5"/>
    </row>
    <row r="31" spans="1:29" ht="15.75" customHeight="1">
      <c r="A31" s="17" t="s">
        <v>46</v>
      </c>
      <c r="G31" s="119"/>
      <c r="H31" s="119"/>
      <c r="I31" s="119"/>
      <c r="J31" s="145"/>
      <c r="K31" s="146"/>
      <c r="AC31" s="5"/>
    </row>
    <row r="32" spans="1:29" ht="15.75" customHeight="1">
      <c r="A32" s="6"/>
      <c r="B32" s="8" t="s">
        <v>47</v>
      </c>
      <c r="AC32" s="5"/>
    </row>
    <row r="33" spans="1:33" ht="15.75" customHeight="1">
      <c r="A33" s="17" t="s">
        <v>48</v>
      </c>
      <c r="J33" s="122">
        <f>J29-J31</f>
        <v>0</v>
      </c>
      <c r="K33" s="123"/>
      <c r="AC33" s="5"/>
    </row>
    <row r="34" spans="1:33" ht="15.75" customHeight="1">
      <c r="A34" s="17" t="s">
        <v>49</v>
      </c>
      <c r="AC34" s="5"/>
      <c r="AG34" s="26"/>
    </row>
    <row r="35" spans="1:33" ht="15.75" customHeight="1">
      <c r="A35" s="6"/>
      <c r="B35" s="8" t="s">
        <v>50</v>
      </c>
      <c r="I35" s="27">
        <f>J20-J29</f>
        <v>0</v>
      </c>
      <c r="O35" s="18" t="s">
        <v>51</v>
      </c>
      <c r="S35" s="28"/>
      <c r="T35" s="28"/>
      <c r="U35" s="7" t="s">
        <v>52</v>
      </c>
      <c r="V35" s="110"/>
      <c r="W35" s="111"/>
      <c r="X35" s="111"/>
      <c r="Y35" s="111"/>
      <c r="Z35" s="111"/>
      <c r="AA35" s="111"/>
      <c r="AB35" s="111"/>
      <c r="AC35" s="124"/>
    </row>
    <row r="36" spans="1:33" ht="15.75" customHeight="1">
      <c r="A36" s="6"/>
      <c r="AC36" s="5"/>
    </row>
    <row r="37" spans="1:33" ht="15.75" customHeight="1">
      <c r="A37" s="6"/>
      <c r="AC37" s="5"/>
    </row>
    <row r="38" spans="1:33" ht="19.5" customHeight="1">
      <c r="A38" s="125" t="s">
        <v>53</v>
      </c>
      <c r="B38" s="126"/>
      <c r="C38" s="126"/>
      <c r="D38" s="126"/>
      <c r="E38" s="126"/>
      <c r="F38" s="126"/>
      <c r="G38" s="126"/>
      <c r="H38" s="127"/>
      <c r="I38" s="29" t="s">
        <v>54</v>
      </c>
      <c r="J38" s="130" t="s">
        <v>55</v>
      </c>
      <c r="K38" s="127"/>
      <c r="O38" s="8" t="s">
        <v>56</v>
      </c>
      <c r="AC38" s="5"/>
    </row>
    <row r="39" spans="1:33" ht="19.5" customHeight="1">
      <c r="A39" s="125" t="s">
        <v>57</v>
      </c>
      <c r="B39" s="126"/>
      <c r="C39" s="126"/>
      <c r="D39" s="126"/>
      <c r="E39" s="126"/>
      <c r="F39" s="126"/>
      <c r="G39" s="126"/>
      <c r="H39" s="127"/>
      <c r="I39" s="30"/>
      <c r="J39" s="131"/>
      <c r="K39" s="127"/>
      <c r="O39" s="8" t="s">
        <v>23</v>
      </c>
      <c r="Q39" s="110"/>
      <c r="R39" s="111"/>
      <c r="S39" s="111"/>
      <c r="T39" s="111"/>
      <c r="U39" s="111"/>
      <c r="V39" s="111"/>
      <c r="W39" s="111"/>
      <c r="Y39" s="7" t="s">
        <v>24</v>
      </c>
      <c r="Z39" s="110"/>
      <c r="AA39" s="111"/>
      <c r="AB39" s="111"/>
      <c r="AC39" s="124"/>
    </row>
    <row r="40" spans="1:33" ht="19.5" customHeight="1">
      <c r="A40" s="125" t="s">
        <v>58</v>
      </c>
      <c r="B40" s="126"/>
      <c r="C40" s="126"/>
      <c r="D40" s="126"/>
      <c r="E40" s="126"/>
      <c r="F40" s="126"/>
      <c r="G40" s="126"/>
      <c r="H40" s="127"/>
      <c r="I40" s="30"/>
      <c r="J40" s="131"/>
      <c r="K40" s="127"/>
      <c r="AC40" s="5"/>
    </row>
    <row r="41" spans="1:33" ht="19.5" customHeight="1">
      <c r="A41" s="128" t="s">
        <v>59</v>
      </c>
      <c r="B41" s="126"/>
      <c r="C41" s="126"/>
      <c r="D41" s="126"/>
      <c r="E41" s="126"/>
      <c r="F41" s="126"/>
      <c r="G41" s="126"/>
      <c r="H41" s="127"/>
      <c r="I41" s="31">
        <f>SUM(I39:I40)</f>
        <v>0</v>
      </c>
      <c r="J41" s="129">
        <f>SUM(J39:K40)</f>
        <v>0</v>
      </c>
      <c r="K41" s="127"/>
      <c r="AC41" s="5"/>
    </row>
    <row r="42" spans="1:33" ht="15.75" customHeight="1">
      <c r="A42" s="32"/>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4"/>
    </row>
    <row r="43" spans="1:33" ht="15.75" customHeight="1"/>
    <row r="44" spans="1:33" ht="15.75" customHeight="1"/>
    <row r="45" spans="1:33" ht="15.75" customHeight="1"/>
    <row r="46" spans="1:33" ht="15.75" customHeight="1"/>
    <row r="47" spans="1:33" ht="15.75" customHeight="1"/>
    <row r="48" spans="1:33"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50">
    <mergeCell ref="U11:Z11"/>
    <mergeCell ref="D12:G12"/>
    <mergeCell ref="K12:R12"/>
    <mergeCell ref="U12:Z12"/>
    <mergeCell ref="D13:G13"/>
    <mergeCell ref="K13:R13"/>
    <mergeCell ref="V35:AC35"/>
    <mergeCell ref="A40:H40"/>
    <mergeCell ref="A41:H41"/>
    <mergeCell ref="J41:K41"/>
    <mergeCell ref="A38:H38"/>
    <mergeCell ref="J38:K38"/>
    <mergeCell ref="A39:H39"/>
    <mergeCell ref="J39:K39"/>
    <mergeCell ref="Q39:W39"/>
    <mergeCell ref="Z39:AC39"/>
    <mergeCell ref="J40:K40"/>
    <mergeCell ref="O28:AC29"/>
    <mergeCell ref="J29:K29"/>
    <mergeCell ref="G30:I31"/>
    <mergeCell ref="J31:K31"/>
    <mergeCell ref="J33:K33"/>
    <mergeCell ref="X20:AA20"/>
    <mergeCell ref="J21:K21"/>
    <mergeCell ref="I24:J24"/>
    <mergeCell ref="I26:J26"/>
    <mergeCell ref="J27:K27"/>
    <mergeCell ref="D9:G9"/>
    <mergeCell ref="K9:R9"/>
    <mergeCell ref="J18:K18"/>
    <mergeCell ref="J19:K19"/>
    <mergeCell ref="J20:K20"/>
    <mergeCell ref="Q20:T20"/>
    <mergeCell ref="D11:G11"/>
    <mergeCell ref="K11:R11"/>
    <mergeCell ref="U5:Z5"/>
    <mergeCell ref="U6:Z6"/>
    <mergeCell ref="U7:Z7"/>
    <mergeCell ref="U8:Z8"/>
    <mergeCell ref="D3:G3"/>
    <mergeCell ref="K3:R3"/>
    <mergeCell ref="U3:Z3"/>
    <mergeCell ref="D4:G4"/>
    <mergeCell ref="K4:R4"/>
    <mergeCell ref="D5:G5"/>
    <mergeCell ref="K5:R5"/>
    <mergeCell ref="D7:G7"/>
    <mergeCell ref="K7:R7"/>
    <mergeCell ref="D8:G8"/>
    <mergeCell ref="K8:R8"/>
  </mergeCells>
  <pageMargins left="0.7" right="0.7" top="0.75" bottom="0.75" header="0" footer="0"/>
  <pageSetup scale="64"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1006"/>
  <sheetViews>
    <sheetView workbookViewId="0">
      <pane ySplit="9" topLeftCell="A10" activePane="bottomLeft" state="frozen"/>
      <selection pane="bottomLeft" activeCell="F15" sqref="F15"/>
    </sheetView>
  </sheetViews>
  <sheetFormatPr baseColWidth="10" defaultColWidth="14.5" defaultRowHeight="15" customHeight="1"/>
  <cols>
    <col min="1" max="1" width="11.1640625" customWidth="1"/>
    <col min="2" max="2" width="36.33203125" customWidth="1"/>
    <col min="3" max="3" width="19.83203125" customWidth="1"/>
    <col min="4" max="4" width="19.33203125" customWidth="1"/>
    <col min="5" max="5" width="17.83203125" customWidth="1"/>
    <col min="6" max="7" width="21.5" customWidth="1"/>
    <col min="8" max="8" width="9.5" customWidth="1"/>
    <col min="9" max="9" width="19.83203125" customWidth="1"/>
    <col min="10" max="10" width="20.33203125" customWidth="1"/>
    <col min="11" max="11" width="16.33203125" customWidth="1"/>
  </cols>
  <sheetData>
    <row r="1" spans="1:11" ht="24">
      <c r="A1" s="35" t="s">
        <v>60</v>
      </c>
      <c r="B1" s="35"/>
      <c r="C1" s="24"/>
      <c r="D1" s="24"/>
      <c r="E1" s="24"/>
      <c r="F1" s="24"/>
      <c r="G1" s="24"/>
      <c r="H1" s="24"/>
      <c r="I1" s="27"/>
      <c r="J1" s="27"/>
    </row>
    <row r="2" spans="1:11" ht="2.25" customHeight="1">
      <c r="I2" s="26"/>
      <c r="J2" s="26"/>
    </row>
    <row r="3" spans="1:11" ht="19.5" customHeight="1">
      <c r="G3" s="132" t="s">
        <v>3</v>
      </c>
      <c r="H3" s="120"/>
      <c r="I3" s="142"/>
      <c r="J3" s="143"/>
    </row>
    <row r="4" spans="1:11" ht="19.5" customHeight="1">
      <c r="G4" s="132" t="s">
        <v>61</v>
      </c>
      <c r="H4" s="120"/>
      <c r="I4" s="144"/>
      <c r="J4" s="143"/>
    </row>
    <row r="5" spans="1:11">
      <c r="G5" s="132" t="s">
        <v>7</v>
      </c>
      <c r="H5" s="120"/>
      <c r="I5" s="133"/>
      <c r="J5" s="127"/>
    </row>
    <row r="6" spans="1:11" ht="19.5" customHeight="1">
      <c r="G6" s="138" t="s">
        <v>62</v>
      </c>
      <c r="H6" s="124"/>
      <c r="I6" s="134"/>
      <c r="J6" s="127"/>
    </row>
    <row r="7" spans="1:11">
      <c r="A7" s="36" t="s">
        <v>63</v>
      </c>
      <c r="B7" s="36" t="s">
        <v>64</v>
      </c>
      <c r="C7" s="36" t="s">
        <v>65</v>
      </c>
      <c r="D7" s="36" t="s">
        <v>66</v>
      </c>
      <c r="E7" s="36" t="s">
        <v>67</v>
      </c>
      <c r="F7" s="36" t="s">
        <v>68</v>
      </c>
      <c r="G7" s="139" t="s">
        <v>69</v>
      </c>
      <c r="H7" s="127"/>
      <c r="I7" s="37" t="s">
        <v>70</v>
      </c>
      <c r="J7" s="37" t="s">
        <v>71</v>
      </c>
    </row>
    <row r="8" spans="1:11" ht="18" customHeight="1">
      <c r="A8" s="140" t="s">
        <v>72</v>
      </c>
      <c r="B8" s="140" t="s">
        <v>73</v>
      </c>
      <c r="C8" s="140" t="s">
        <v>74</v>
      </c>
      <c r="D8" s="141" t="s">
        <v>75</v>
      </c>
      <c r="E8" s="127"/>
      <c r="F8" s="135" t="s">
        <v>76</v>
      </c>
      <c r="G8" s="135" t="s">
        <v>77</v>
      </c>
      <c r="H8" s="135" t="s">
        <v>78</v>
      </c>
      <c r="I8" s="137" t="s">
        <v>79</v>
      </c>
      <c r="J8" s="137" t="s">
        <v>80</v>
      </c>
    </row>
    <row r="9" spans="1:11" ht="42.75" customHeight="1">
      <c r="A9" s="136"/>
      <c r="B9" s="136"/>
      <c r="C9" s="136"/>
      <c r="D9" s="38" t="s">
        <v>81</v>
      </c>
      <c r="E9" s="39" t="s">
        <v>82</v>
      </c>
      <c r="F9" s="136"/>
      <c r="G9" s="136"/>
      <c r="H9" s="136"/>
      <c r="I9" s="136"/>
      <c r="J9" s="136"/>
    </row>
    <row r="10" spans="1:11" ht="30" customHeight="1">
      <c r="A10" s="40"/>
      <c r="B10" s="41" t="s">
        <v>83</v>
      </c>
      <c r="C10" s="40"/>
      <c r="D10" s="42"/>
      <c r="E10" s="40"/>
      <c r="F10" s="42"/>
      <c r="G10" s="42"/>
      <c r="H10" s="42"/>
      <c r="I10" s="43"/>
      <c r="J10" s="43"/>
    </row>
    <row r="11" spans="1:11" ht="15" customHeight="1">
      <c r="K11" s="83"/>
    </row>
    <row r="12" spans="1:11" ht="15.75" customHeight="1">
      <c r="A12" s="29">
        <v>1</v>
      </c>
      <c r="B12" s="44" t="s">
        <v>119</v>
      </c>
      <c r="C12" s="97">
        <v>0</v>
      </c>
      <c r="D12" s="31">
        <v>0</v>
      </c>
      <c r="E12" s="31">
        <v>0</v>
      </c>
      <c r="F12" s="31"/>
      <c r="G12" s="31">
        <f>SUM(D12:F12)</f>
        <v>0</v>
      </c>
      <c r="H12" s="45">
        <f>IFERROR(G12/C12,0)</f>
        <v>0</v>
      </c>
      <c r="I12" s="31">
        <f t="shared" ref="I12:I29" si="0">C12-G12</f>
        <v>0</v>
      </c>
      <c r="J12" s="46">
        <f>SUMIF(Detail!$E$4:$E$91,A12,Detail!$H$4:$H$91)</f>
        <v>0</v>
      </c>
      <c r="K12" s="84"/>
    </row>
    <row r="13" spans="1:11" ht="15.75" customHeight="1">
      <c r="A13" s="29">
        <v>2</v>
      </c>
      <c r="B13" s="44" t="s">
        <v>120</v>
      </c>
      <c r="C13" s="97">
        <v>0</v>
      </c>
      <c r="D13" s="31">
        <v>0</v>
      </c>
      <c r="E13" s="31">
        <f>SUMIFS(Detail!$G$3:$G$92,Detail!$D$3:$D$92,"01",Detail!$E$3:$E$92,'703'!A13)</f>
        <v>0</v>
      </c>
      <c r="F13" s="31"/>
      <c r="G13" s="31">
        <f t="shared" ref="G13:G34" si="1">SUM(D13:F13)</f>
        <v>0</v>
      </c>
      <c r="H13" s="45">
        <f t="shared" ref="H13:H29" si="2">IFERROR(G13/C13,0)</f>
        <v>0</v>
      </c>
      <c r="I13" s="31">
        <f t="shared" si="0"/>
        <v>0</v>
      </c>
      <c r="J13" s="46">
        <f>SUMIF(Detail!$E$4:$E$91,A13,Detail!$H$4:$H$91)</f>
        <v>0</v>
      </c>
      <c r="K13" s="85"/>
    </row>
    <row r="14" spans="1:11" ht="15.75" customHeight="1">
      <c r="A14" s="29">
        <v>3</v>
      </c>
      <c r="B14" s="44" t="s">
        <v>122</v>
      </c>
      <c r="C14" s="97">
        <v>0</v>
      </c>
      <c r="D14" s="31">
        <v>0</v>
      </c>
      <c r="E14" s="31">
        <f>SUMIFS(Detail!$G$3:$G$92,Detail!$D$3:$D$92,"01",Detail!$E$3:$E$92,'703'!A14)</f>
        <v>0</v>
      </c>
      <c r="F14" s="31"/>
      <c r="G14" s="31">
        <f t="shared" si="1"/>
        <v>0</v>
      </c>
      <c r="H14" s="45">
        <f t="shared" si="2"/>
        <v>0</v>
      </c>
      <c r="I14" s="31">
        <f t="shared" si="0"/>
        <v>0</v>
      </c>
      <c r="J14" s="46">
        <f>SUMIF(Detail!$E$4:$E$91,A14,Detail!$H$4:$H$91)</f>
        <v>0</v>
      </c>
      <c r="K14" s="85"/>
    </row>
    <row r="15" spans="1:11" ht="15.75" customHeight="1">
      <c r="A15" s="29">
        <v>4</v>
      </c>
      <c r="B15" s="44" t="s">
        <v>123</v>
      </c>
      <c r="C15" s="97">
        <v>0</v>
      </c>
      <c r="D15" s="31">
        <v>0</v>
      </c>
      <c r="E15" s="31">
        <f>SUMIFS(Detail!$G$3:$G$92,Detail!$D$3:$D$92,"01",Detail!$E$3:$E$92,'703'!A15)</f>
        <v>0</v>
      </c>
      <c r="F15" s="31"/>
      <c r="G15" s="31">
        <f t="shared" si="1"/>
        <v>0</v>
      </c>
      <c r="H15" s="45">
        <f t="shared" si="2"/>
        <v>0</v>
      </c>
      <c r="I15" s="31">
        <f t="shared" si="0"/>
        <v>0</v>
      </c>
      <c r="J15" s="46">
        <f>SUMIF(Detail!$E$4:$E$91,A15,Detail!$H$4:$H$91)</f>
        <v>0</v>
      </c>
      <c r="K15" s="85"/>
    </row>
    <row r="16" spans="1:11" ht="15.75" customHeight="1">
      <c r="A16" s="29">
        <v>5</v>
      </c>
      <c r="B16" s="44" t="s">
        <v>124</v>
      </c>
      <c r="C16" s="97">
        <v>0</v>
      </c>
      <c r="D16" s="31">
        <v>0</v>
      </c>
      <c r="E16" s="31">
        <f>SUMIFS(Detail!$G$3:$G$92,Detail!$D$3:$D$92,"01",Detail!$E$3:$E$92,'703'!A16)</f>
        <v>0</v>
      </c>
      <c r="F16" s="31"/>
      <c r="G16" s="31">
        <f t="shared" si="1"/>
        <v>0</v>
      </c>
      <c r="H16" s="45">
        <f t="shared" si="2"/>
        <v>0</v>
      </c>
      <c r="I16" s="31">
        <f t="shared" si="0"/>
        <v>0</v>
      </c>
      <c r="J16" s="46">
        <f>SUMIF(Detail!$E$4:$E$91,A16,Detail!$H$4:$H$91)</f>
        <v>0</v>
      </c>
      <c r="K16" s="85"/>
    </row>
    <row r="17" spans="1:11" ht="15.75" customHeight="1">
      <c r="A17" s="29">
        <v>6</v>
      </c>
      <c r="B17" s="44" t="s">
        <v>121</v>
      </c>
      <c r="C17" s="97">
        <v>0</v>
      </c>
      <c r="D17" s="31">
        <v>0</v>
      </c>
      <c r="E17" s="31">
        <f>SUMIFS(Detail!$G$3:$G$92,Detail!$D$3:$D$92,"01",Detail!$E$3:$E$92,'703'!A17)</f>
        <v>0</v>
      </c>
      <c r="F17" s="31"/>
      <c r="G17" s="31">
        <f t="shared" si="1"/>
        <v>0</v>
      </c>
      <c r="H17" s="45">
        <f t="shared" si="2"/>
        <v>0</v>
      </c>
      <c r="I17" s="31">
        <f t="shared" si="0"/>
        <v>0</v>
      </c>
      <c r="J17" s="46">
        <f>SUMIF(Detail!$E$4:$E$91,A17,Detail!$H$4:$H$91)</f>
        <v>0</v>
      </c>
      <c r="K17" s="85"/>
    </row>
    <row r="18" spans="1:11" ht="15.75" customHeight="1">
      <c r="A18" s="29">
        <v>7</v>
      </c>
      <c r="B18" s="44" t="s">
        <v>125</v>
      </c>
      <c r="C18" s="97">
        <v>0</v>
      </c>
      <c r="D18" s="31">
        <v>0</v>
      </c>
      <c r="E18" s="31">
        <f>SUMIFS(Detail!$G$3:$G$92,Detail!$D$3:$D$92,"01",Detail!$E$3:$E$92,'703'!A18)</f>
        <v>0</v>
      </c>
      <c r="F18" s="31"/>
      <c r="G18" s="31">
        <f t="shared" si="1"/>
        <v>0</v>
      </c>
      <c r="H18" s="45">
        <f t="shared" si="2"/>
        <v>0</v>
      </c>
      <c r="I18" s="31">
        <f t="shared" si="0"/>
        <v>0</v>
      </c>
      <c r="J18" s="46">
        <f>SUMIF(Detail!$E$4:$E$91,A18,Detail!$H$4:$H$91)</f>
        <v>0</v>
      </c>
      <c r="K18" s="85"/>
    </row>
    <row r="19" spans="1:11" ht="15.75" customHeight="1">
      <c r="A19" s="29">
        <v>8</v>
      </c>
      <c r="B19" s="44" t="s">
        <v>126</v>
      </c>
      <c r="C19" s="97">
        <v>0</v>
      </c>
      <c r="D19" s="31">
        <v>0</v>
      </c>
      <c r="E19" s="31">
        <f>SUMIFS(Detail!$G$3:$G$92,Detail!$D$3:$D$92,"01",Detail!$E$3:$E$92,'703'!A19)</f>
        <v>0</v>
      </c>
      <c r="F19" s="31"/>
      <c r="G19" s="31">
        <f t="shared" si="1"/>
        <v>0</v>
      </c>
      <c r="H19" s="45">
        <f t="shared" si="2"/>
        <v>0</v>
      </c>
      <c r="I19" s="31">
        <f t="shared" si="0"/>
        <v>0</v>
      </c>
      <c r="J19" s="46">
        <f>SUMIF(Detail!$E$4:$E$91,A19,Detail!$H$4:$H$91)</f>
        <v>0</v>
      </c>
      <c r="K19" s="83"/>
    </row>
    <row r="20" spans="1:11" ht="15.75" customHeight="1">
      <c r="A20" s="29">
        <v>9</v>
      </c>
      <c r="B20" s="44" t="s">
        <v>127</v>
      </c>
      <c r="C20" s="97">
        <v>0</v>
      </c>
      <c r="D20" s="31">
        <v>0</v>
      </c>
      <c r="E20" s="31">
        <f>SUMIFS(Detail!$G$3:$G$92,Detail!$D$3:$D$92,"01",Detail!$E$3:$E$92,'703'!A20)</f>
        <v>0</v>
      </c>
      <c r="F20" s="31"/>
      <c r="G20" s="31">
        <f t="shared" si="1"/>
        <v>0</v>
      </c>
      <c r="H20" s="45">
        <f t="shared" si="2"/>
        <v>0</v>
      </c>
      <c r="I20" s="31">
        <f t="shared" si="0"/>
        <v>0</v>
      </c>
      <c r="J20" s="46">
        <f>SUMIF(Detail!$E$4:$E$91,A20,Detail!$H$4:$H$91)</f>
        <v>0</v>
      </c>
      <c r="K20" s="86"/>
    </row>
    <row r="21" spans="1:11" ht="15.75" customHeight="1">
      <c r="A21" s="29">
        <v>10</v>
      </c>
      <c r="B21" s="44" t="s">
        <v>128</v>
      </c>
      <c r="C21" s="97">
        <v>0</v>
      </c>
      <c r="D21" s="31">
        <v>0</v>
      </c>
      <c r="E21" s="31">
        <f>SUMIFS(Detail!$G$3:$G$92,Detail!$D$3:$D$92,"01",Detail!$E$3:$E$92,'703'!A21)</f>
        <v>0</v>
      </c>
      <c r="F21" s="31"/>
      <c r="G21" s="31">
        <f t="shared" si="1"/>
        <v>0</v>
      </c>
      <c r="H21" s="45">
        <f t="shared" si="2"/>
        <v>0</v>
      </c>
      <c r="I21" s="31">
        <f t="shared" si="0"/>
        <v>0</v>
      </c>
      <c r="J21" s="46">
        <f>SUMIF(Detail!$E$4:$E$91,A21,Detail!$H$4:$H$91)</f>
        <v>0</v>
      </c>
      <c r="K21" s="83"/>
    </row>
    <row r="22" spans="1:11" ht="15.75" customHeight="1">
      <c r="A22" s="29">
        <v>11</v>
      </c>
      <c r="B22" s="44" t="s">
        <v>129</v>
      </c>
      <c r="C22" s="97">
        <v>0</v>
      </c>
      <c r="D22" s="31">
        <v>0</v>
      </c>
      <c r="E22" s="31">
        <f>SUMIFS(Detail!$G$3:$G$92,Detail!$D$3:$D$92,"01",Detail!$E$3:$E$92,'703'!A22)</f>
        <v>0</v>
      </c>
      <c r="F22" s="31"/>
      <c r="G22" s="31">
        <f t="shared" ref="G22" si="3">SUM(D22:F22)</f>
        <v>0</v>
      </c>
      <c r="H22" s="45">
        <f t="shared" ref="H22" si="4">IFERROR(G22/C22,0)</f>
        <v>0</v>
      </c>
      <c r="I22" s="31">
        <f t="shared" ref="I22" si="5">C22-G22</f>
        <v>0</v>
      </c>
      <c r="J22" s="46">
        <f>SUMIF(Detail!$E$4:$E$91,A22,Detail!$H$4:$H$91)</f>
        <v>0</v>
      </c>
      <c r="K22" s="83"/>
    </row>
    <row r="23" spans="1:11" ht="15.75" customHeight="1">
      <c r="A23" s="29">
        <v>12</v>
      </c>
      <c r="B23" s="44" t="s">
        <v>130</v>
      </c>
      <c r="C23" s="97">
        <v>0</v>
      </c>
      <c r="D23" s="31">
        <v>0</v>
      </c>
      <c r="E23" s="31">
        <f>SUMIFS(Detail!$G$3:$G$92,Detail!$D$3:$D$92,"01",Detail!$E$3:$E$92,'703'!A23)</f>
        <v>0</v>
      </c>
      <c r="F23" s="31"/>
      <c r="G23" s="31">
        <f>SUM(D23:F23)</f>
        <v>0</v>
      </c>
      <c r="H23" s="45">
        <f t="shared" si="2"/>
        <v>0</v>
      </c>
      <c r="I23" s="31">
        <f>C23-G23</f>
        <v>0</v>
      </c>
      <c r="J23" s="46">
        <f>SUMIF(Detail!$E$4:$E$91,A23,Detail!$H$4:$H$91)</f>
        <v>0</v>
      </c>
      <c r="K23" s="83"/>
    </row>
    <row r="24" spans="1:11" ht="15.75" customHeight="1">
      <c r="A24" s="29">
        <v>13</v>
      </c>
      <c r="B24" s="44" t="s">
        <v>131</v>
      </c>
      <c r="C24" s="97">
        <v>0</v>
      </c>
      <c r="D24" s="31">
        <v>0</v>
      </c>
      <c r="E24" s="31">
        <f>SUMIFS(Detail!$G$3:$G$92,Detail!$D$3:$D$92,"01",Detail!$E$3:$E$92,'703'!A24)</f>
        <v>0</v>
      </c>
      <c r="F24" s="31"/>
      <c r="G24" s="31">
        <f t="shared" si="1"/>
        <v>0</v>
      </c>
      <c r="H24" s="45">
        <f t="shared" si="2"/>
        <v>0</v>
      </c>
      <c r="I24" s="31">
        <f t="shared" si="0"/>
        <v>0</v>
      </c>
      <c r="J24" s="46">
        <f>SUMIF(Detail!$E$4:$E$91,A24,Detail!$H$4:$H$91)</f>
        <v>0</v>
      </c>
      <c r="K24" s="83"/>
    </row>
    <row r="25" spans="1:11" ht="15.75" customHeight="1">
      <c r="A25" s="87">
        <v>14</v>
      </c>
      <c r="B25" s="88" t="s">
        <v>132</v>
      </c>
      <c r="C25" s="97">
        <v>0</v>
      </c>
      <c r="D25" s="31">
        <v>0</v>
      </c>
      <c r="E25" s="31">
        <v>0</v>
      </c>
      <c r="F25" s="31"/>
      <c r="G25" s="31">
        <f t="shared" si="1"/>
        <v>0</v>
      </c>
      <c r="H25" s="45">
        <f t="shared" si="2"/>
        <v>0</v>
      </c>
      <c r="I25" s="31">
        <f t="shared" si="0"/>
        <v>0</v>
      </c>
      <c r="J25" s="46">
        <f>SUMIF(Detail!$E$4:$E$91,A25,Detail!$H$4:$H$91)</f>
        <v>0</v>
      </c>
    </row>
    <row r="26" spans="1:11" ht="15.75" customHeight="1">
      <c r="A26" s="89">
        <v>21</v>
      </c>
      <c r="B26" s="90" t="s">
        <v>113</v>
      </c>
      <c r="C26" s="97">
        <v>0</v>
      </c>
      <c r="D26" s="31">
        <v>0</v>
      </c>
      <c r="E26" s="31">
        <f>SUMIFS(Detail!$G$3:$G$92,Detail!$D$3:$D$92,"01",Detail!$E$3:$E$92,'703'!A26)</f>
        <v>0</v>
      </c>
      <c r="F26" s="31"/>
      <c r="G26" s="31">
        <f t="shared" si="1"/>
        <v>0</v>
      </c>
      <c r="H26" s="45">
        <f t="shared" si="2"/>
        <v>0</v>
      </c>
      <c r="I26" s="31">
        <f t="shared" si="0"/>
        <v>0</v>
      </c>
      <c r="J26" s="46">
        <f>SUMIF(Detail!$E$4:$E$91,A26,Detail!$H$4:$H$91)</f>
        <v>0</v>
      </c>
    </row>
    <row r="27" spans="1:11" ht="15.75" customHeight="1">
      <c r="A27" s="89">
        <v>22</v>
      </c>
      <c r="B27" s="90" t="s">
        <v>133</v>
      </c>
      <c r="C27" s="97">
        <v>0</v>
      </c>
      <c r="D27" s="31">
        <v>0</v>
      </c>
      <c r="E27" s="31">
        <f>SUMIFS(Detail!$G$3:$G$92,Detail!$D$3:$D$92,"01",Detail!$E$3:$E$92,'703'!A27)</f>
        <v>0</v>
      </c>
      <c r="F27" s="31"/>
      <c r="G27" s="31">
        <f t="shared" si="1"/>
        <v>0</v>
      </c>
      <c r="H27" s="45">
        <f t="shared" si="2"/>
        <v>0</v>
      </c>
      <c r="I27" s="31">
        <f t="shared" si="0"/>
        <v>0</v>
      </c>
      <c r="J27" s="46">
        <f>SUMIF(Detail!$E$4:$E$91,A27,Detail!$H$4:$H$91)</f>
        <v>0</v>
      </c>
    </row>
    <row r="28" spans="1:11" ht="15.75" customHeight="1">
      <c r="A28" s="89">
        <v>23</v>
      </c>
      <c r="B28" s="90" t="s">
        <v>114</v>
      </c>
      <c r="C28" s="97">
        <v>0</v>
      </c>
      <c r="D28" s="31">
        <v>0</v>
      </c>
      <c r="E28" s="31">
        <f>SUMIFS(Detail!$G$3:$G$92,Detail!$D$3:$D$92,"01",Detail!$E$3:$E$92,'703'!A28)</f>
        <v>0</v>
      </c>
      <c r="F28" s="31"/>
      <c r="G28" s="31">
        <f t="shared" si="1"/>
        <v>0</v>
      </c>
      <c r="H28" s="45">
        <f t="shared" si="2"/>
        <v>0</v>
      </c>
      <c r="I28" s="31">
        <f t="shared" si="0"/>
        <v>0</v>
      </c>
      <c r="J28" s="46">
        <f>SUMIF(Detail!$E$4:$E$91,A28,Detail!$H$4:$H$91)</f>
        <v>0</v>
      </c>
    </row>
    <row r="29" spans="1:11" ht="15.75" customHeight="1">
      <c r="A29" s="89">
        <v>26</v>
      </c>
      <c r="B29" s="90" t="s">
        <v>134</v>
      </c>
      <c r="C29" s="97">
        <v>0</v>
      </c>
      <c r="D29" s="31">
        <v>0</v>
      </c>
      <c r="E29" s="31">
        <f>SUMIFS(Detail!$G$3:$G$92,Detail!$D$3:$D$92,"01",Detail!$E$3:$E$92,'703'!A29)</f>
        <v>0</v>
      </c>
      <c r="F29" s="31"/>
      <c r="G29" s="31">
        <f t="shared" si="1"/>
        <v>0</v>
      </c>
      <c r="H29" s="45">
        <f t="shared" si="2"/>
        <v>0</v>
      </c>
      <c r="I29" s="31">
        <f t="shared" si="0"/>
        <v>0</v>
      </c>
      <c r="J29" s="46">
        <f>SUMIF(Detail!$E$4:$E$91,A29,Detail!$H$4:$H$91)</f>
        <v>0</v>
      </c>
    </row>
    <row r="30" spans="1:11" ht="15.75" customHeight="1">
      <c r="A30" s="89">
        <v>28</v>
      </c>
      <c r="B30" s="90" t="s">
        <v>135</v>
      </c>
      <c r="C30" s="97">
        <v>0</v>
      </c>
      <c r="D30" s="31">
        <v>0</v>
      </c>
      <c r="E30" s="31">
        <f>SUMIFS(Detail!$G$3:$G$92,Detail!$D$3:$D$92,"01",Detail!$E$3:$E$92,'703'!A30)</f>
        <v>0</v>
      </c>
      <c r="F30" s="31"/>
      <c r="G30" s="31">
        <f t="shared" si="1"/>
        <v>0</v>
      </c>
      <c r="H30" s="45">
        <f>IFERROR(G30/C30,0)</f>
        <v>0</v>
      </c>
      <c r="I30" s="31">
        <f>C30-G30</f>
        <v>0</v>
      </c>
      <c r="J30" s="46">
        <f>SUMIF(Detail!$E$4:$E$91,A30,Detail!$H$4:$H$91)</f>
        <v>0</v>
      </c>
    </row>
    <row r="31" spans="1:11" ht="15.75" customHeight="1">
      <c r="A31" s="89">
        <v>31</v>
      </c>
      <c r="B31" s="90" t="s">
        <v>117</v>
      </c>
      <c r="C31" s="97">
        <v>0</v>
      </c>
      <c r="D31" s="31">
        <v>0</v>
      </c>
      <c r="E31" s="31">
        <v>0</v>
      </c>
      <c r="F31" s="31"/>
      <c r="G31" s="31">
        <f t="shared" si="1"/>
        <v>0</v>
      </c>
      <c r="H31" s="45">
        <f>IFERROR(G31/C31,0)</f>
        <v>0</v>
      </c>
      <c r="I31" s="31">
        <f>C31-G31</f>
        <v>0</v>
      </c>
      <c r="J31" s="46">
        <f>SUMIF(Detail!$E$4:$E$91,A31,Detail!$H$4:$H$91)</f>
        <v>0</v>
      </c>
    </row>
    <row r="32" spans="1:11" ht="15.75" customHeight="1">
      <c r="A32" s="94">
        <v>32</v>
      </c>
      <c r="B32" s="93" t="s">
        <v>136</v>
      </c>
      <c r="C32" s="97">
        <v>0</v>
      </c>
      <c r="D32" s="31">
        <v>0</v>
      </c>
      <c r="E32" s="31">
        <f>SUMIFS(Detail!$G$3:$G$92,Detail!$D$3:$D$92,"01",Detail!$E$3:$E$92,'703'!A32)</f>
        <v>0</v>
      </c>
      <c r="F32" s="31"/>
      <c r="G32" s="31">
        <f t="shared" si="1"/>
        <v>0</v>
      </c>
      <c r="H32" s="45">
        <f>IFERROR(G32/C32,0)</f>
        <v>0</v>
      </c>
      <c r="I32" s="31">
        <f>C32-G32</f>
        <v>0</v>
      </c>
      <c r="J32" s="46">
        <f>SUMIF(Detail!$E$4:$E$91,A32,Detail!$H$4:$H$91)</f>
        <v>0</v>
      </c>
    </row>
    <row r="33" spans="1:12" ht="15.75" customHeight="1">
      <c r="A33" s="94">
        <v>33</v>
      </c>
      <c r="B33" s="93" t="s">
        <v>116</v>
      </c>
      <c r="C33" s="97">
        <v>0</v>
      </c>
      <c r="D33" s="31">
        <v>0</v>
      </c>
      <c r="E33" s="31">
        <f>SUMIFS(Detail!$G$3:$G$92,Detail!$D$3:$D$92,"01",Detail!$E$3:$E$92,'703'!A33)</f>
        <v>0</v>
      </c>
      <c r="F33" s="31"/>
      <c r="G33" s="31">
        <f t="shared" si="1"/>
        <v>0</v>
      </c>
      <c r="H33" s="45">
        <f>IFERROR(G33/C33,0)</f>
        <v>0</v>
      </c>
      <c r="I33" s="31">
        <f>C33-G33</f>
        <v>0</v>
      </c>
      <c r="J33" s="46">
        <f>SUMIF(Detail!$E$4:$E$91,A33,Detail!$H$4:$H$91)</f>
        <v>0</v>
      </c>
    </row>
    <row r="34" spans="1:12" ht="15.75" customHeight="1">
      <c r="A34" s="94" t="s">
        <v>138</v>
      </c>
      <c r="B34" s="93" t="s">
        <v>137</v>
      </c>
      <c r="C34" s="97">
        <v>0</v>
      </c>
      <c r="D34" s="31">
        <v>0</v>
      </c>
      <c r="E34" s="31">
        <f>SUMIFS(Detail!$G$3:$G$92,Detail!$D$3:$D$92,"01",Detail!$E$3:$E$92,'703'!A34)</f>
        <v>0</v>
      </c>
      <c r="F34" s="31"/>
      <c r="G34" s="31">
        <f t="shared" si="1"/>
        <v>0</v>
      </c>
      <c r="H34" s="45">
        <f>IFERROR(G34/C34,0)</f>
        <v>0</v>
      </c>
      <c r="I34" s="31">
        <f>C34-G34</f>
        <v>0</v>
      </c>
      <c r="J34" s="46">
        <f>SUMIF(Detail!$E$4:$E$91,A34,Detail!$H$4:$H$91)</f>
        <v>0</v>
      </c>
    </row>
    <row r="35" spans="1:12" ht="15.75" customHeight="1">
      <c r="A35" s="91"/>
      <c r="B35" s="93"/>
      <c r="C35" s="31"/>
      <c r="D35" s="31"/>
      <c r="E35" s="31"/>
      <c r="F35" s="31"/>
      <c r="G35" s="31"/>
      <c r="H35" s="45"/>
      <c r="I35" s="31"/>
      <c r="J35" s="46"/>
    </row>
    <row r="36" spans="1:12" ht="15.75" customHeight="1">
      <c r="E36" s="26"/>
      <c r="F36" s="26"/>
      <c r="G36" s="26"/>
      <c r="H36" s="47"/>
      <c r="I36" s="26"/>
      <c r="J36" s="26"/>
    </row>
    <row r="37" spans="1:12" ht="15.75" customHeight="1">
      <c r="A37" s="48"/>
      <c r="B37" s="49" t="s">
        <v>84</v>
      </c>
      <c r="C37" s="50">
        <f>SUM(C12:C35)</f>
        <v>0</v>
      </c>
      <c r="D37" s="50">
        <f>SUM(D11:D35)</f>
        <v>0</v>
      </c>
      <c r="E37" s="50">
        <f>SUM(E11:E35)</f>
        <v>0</v>
      </c>
      <c r="F37" s="50">
        <f>SUM(F11:F35)</f>
        <v>0</v>
      </c>
      <c r="G37" s="50">
        <f>SUM(D37:F37)</f>
        <v>0</v>
      </c>
      <c r="H37" s="51" t="e">
        <f>G37/(C37)</f>
        <v>#DIV/0!</v>
      </c>
      <c r="I37" s="50">
        <f t="shared" ref="I37:I59" si="6">C37-G37</f>
        <v>0</v>
      </c>
      <c r="J37" s="50">
        <f>SUM(J11:J35)</f>
        <v>0</v>
      </c>
      <c r="K37" s="77"/>
    </row>
    <row r="38" spans="1:12" ht="15.75" customHeight="1">
      <c r="A38" s="52"/>
      <c r="B38" s="52"/>
      <c r="C38" s="53"/>
      <c r="D38" s="54"/>
      <c r="E38" s="55"/>
      <c r="F38" s="55"/>
      <c r="G38" s="55"/>
      <c r="H38" s="56"/>
      <c r="I38" s="55">
        <f t="shared" si="6"/>
        <v>0</v>
      </c>
      <c r="J38" s="55"/>
    </row>
    <row r="39" spans="1:12" ht="30" customHeight="1">
      <c r="A39" s="57"/>
      <c r="B39" s="41" t="s">
        <v>85</v>
      </c>
      <c r="C39" s="58"/>
      <c r="D39" s="57"/>
      <c r="E39" s="59"/>
      <c r="F39" s="59"/>
      <c r="G39" s="59"/>
      <c r="H39" s="56"/>
      <c r="I39" s="60">
        <f t="shared" si="6"/>
        <v>0</v>
      </c>
      <c r="J39" s="60"/>
    </row>
    <row r="40" spans="1:12" ht="15.75" customHeight="1">
      <c r="A40" s="29">
        <v>60</v>
      </c>
      <c r="B40" s="44" t="s">
        <v>139</v>
      </c>
      <c r="C40" s="31">
        <v>0</v>
      </c>
      <c r="D40" s="31">
        <v>0</v>
      </c>
      <c r="E40" s="31">
        <f>SUMIFS(Detail!$G$3:$G$92,Detail!$D$3:$D$92,"01",Detail!$E$3:$E$92,'703'!A40)</f>
        <v>0</v>
      </c>
      <c r="F40" s="31"/>
      <c r="G40" s="31">
        <f>SUM(D40:F40)</f>
        <v>0</v>
      </c>
      <c r="H40" s="45">
        <f t="shared" ref="H40:H59" si="7">IFERROR(G40/C40,0)</f>
        <v>0</v>
      </c>
      <c r="I40" s="31">
        <f t="shared" si="6"/>
        <v>0</v>
      </c>
      <c r="J40" s="46">
        <f>SUMIF(Detail!$E$4:$E$88,A40,Detail!$H$4:$H$88)</f>
        <v>0</v>
      </c>
    </row>
    <row r="41" spans="1:12" ht="15.75" customHeight="1">
      <c r="A41" s="29">
        <v>61</v>
      </c>
      <c r="B41" s="44" t="s">
        <v>140</v>
      </c>
      <c r="C41" s="31">
        <v>0</v>
      </c>
      <c r="D41" s="31">
        <v>0</v>
      </c>
      <c r="E41" s="31">
        <f>SUMIFS(Detail!$G$3:$G$92,Detail!$D$3:$D$92,"01",Detail!$E$3:$E$92,'703'!A41)</f>
        <v>0</v>
      </c>
      <c r="F41" s="31"/>
      <c r="G41" s="31">
        <f>SUM(D41:E41)</f>
        <v>0</v>
      </c>
      <c r="H41" s="45">
        <f t="shared" si="7"/>
        <v>0</v>
      </c>
      <c r="I41" s="31">
        <f t="shared" si="6"/>
        <v>0</v>
      </c>
      <c r="J41" s="46">
        <f>SUMIF(Detail!$E$4:$E$88,A41,Detail!$H$4:$H$88)</f>
        <v>0</v>
      </c>
    </row>
    <row r="42" spans="1:12" ht="15.75" customHeight="1">
      <c r="A42" s="29">
        <v>62</v>
      </c>
      <c r="B42" s="44" t="s">
        <v>141</v>
      </c>
      <c r="C42" s="31">
        <v>0</v>
      </c>
      <c r="D42" s="31">
        <v>0</v>
      </c>
      <c r="E42" s="31">
        <f>SUMIFS(Detail!$G$3:$G$92,Detail!$D$3:$D$92,"01",Detail!$E$3:$E$92,'703'!A42)</f>
        <v>0</v>
      </c>
      <c r="F42" s="31"/>
      <c r="G42" s="31">
        <f t="shared" ref="G42:G52" si="8">SUM(D42:E42)</f>
        <v>0</v>
      </c>
      <c r="H42" s="45">
        <f t="shared" si="7"/>
        <v>0</v>
      </c>
      <c r="I42" s="31">
        <f t="shared" si="6"/>
        <v>0</v>
      </c>
      <c r="J42" s="46">
        <f>SUMIF(Detail!$E$4:$E$88,A42,Detail!$H$4:$H$88)</f>
        <v>0</v>
      </c>
      <c r="L42" s="77"/>
    </row>
    <row r="43" spans="1:12" ht="15.75" customHeight="1">
      <c r="A43" s="29">
        <v>63</v>
      </c>
      <c r="B43" s="44" t="s">
        <v>112</v>
      </c>
      <c r="C43" s="31">
        <v>0</v>
      </c>
      <c r="D43" s="31">
        <v>0</v>
      </c>
      <c r="E43" s="31">
        <f>SUMIFS(Detail!$G$3:$G$92,Detail!$D$3:$D$92,"01",Detail!$E$3:$E$92,'703'!A43)</f>
        <v>0</v>
      </c>
      <c r="F43" s="31"/>
      <c r="G43" s="31">
        <f t="shared" si="8"/>
        <v>0</v>
      </c>
      <c r="H43" s="45">
        <f t="shared" si="7"/>
        <v>0</v>
      </c>
      <c r="I43" s="31">
        <f t="shared" si="6"/>
        <v>0</v>
      </c>
      <c r="J43" s="46">
        <f>SUMIF(Detail!$E$4:$E$88,A43,Detail!$H$4:$H$88)</f>
        <v>0</v>
      </c>
      <c r="L43" s="77"/>
    </row>
    <row r="44" spans="1:12" ht="15.75" customHeight="1">
      <c r="A44" s="29">
        <v>64</v>
      </c>
      <c r="B44" s="44" t="s">
        <v>142</v>
      </c>
      <c r="C44" s="97">
        <v>0</v>
      </c>
      <c r="D44" s="31">
        <v>0</v>
      </c>
      <c r="E44" s="31">
        <f>SUMIFS(Detail!$G$3:$G$92,Detail!$D$3:$D$92,"01",Detail!$E$3:$E$92,'703'!A44)</f>
        <v>0</v>
      </c>
      <c r="F44" s="31"/>
      <c r="G44" s="31">
        <f>SUM(D44:E44)</f>
        <v>0</v>
      </c>
      <c r="H44" s="45">
        <f t="shared" si="7"/>
        <v>0</v>
      </c>
      <c r="I44" s="31">
        <f t="shared" si="6"/>
        <v>0</v>
      </c>
      <c r="J44" s="46">
        <f>SUMIF(Detail!$E$4:$E$88,A44,Detail!$H$4:$H$88)</f>
        <v>0</v>
      </c>
    </row>
    <row r="45" spans="1:12" ht="15.75" customHeight="1">
      <c r="A45" s="29">
        <v>65</v>
      </c>
      <c r="B45" s="44" t="s">
        <v>143</v>
      </c>
      <c r="C45" s="97">
        <v>0</v>
      </c>
      <c r="D45" s="31">
        <v>0</v>
      </c>
      <c r="E45" s="31">
        <f>SUMIFS(Detail!$G$3:$G$92,Detail!$D$3:$D$92,"01",Detail!$E$3:$E$92,'703'!A45)</f>
        <v>0</v>
      </c>
      <c r="F45" s="31"/>
      <c r="G45" s="31">
        <f>SUM(D45:E45)</f>
        <v>0</v>
      </c>
      <c r="H45" s="45">
        <f t="shared" si="7"/>
        <v>0</v>
      </c>
      <c r="I45" s="31">
        <f t="shared" si="6"/>
        <v>0</v>
      </c>
      <c r="J45" s="46">
        <f>SUMIF(Detail!$E$4:$E$88,A45,Detail!$H$4:$H$88)</f>
        <v>0</v>
      </c>
    </row>
    <row r="46" spans="1:12" ht="15.75" customHeight="1">
      <c r="A46" s="29">
        <v>66</v>
      </c>
      <c r="B46" s="44" t="s">
        <v>144</v>
      </c>
      <c r="C46" s="31">
        <v>0</v>
      </c>
      <c r="D46" s="31">
        <v>0</v>
      </c>
      <c r="E46" s="31">
        <f>SUMIFS(Detail!$G$3:$G$92,Detail!$D$3:$D$92,"01",Detail!$E$3:$E$92,'703'!A46)</f>
        <v>0</v>
      </c>
      <c r="F46" s="31"/>
      <c r="G46" s="31">
        <f t="shared" si="8"/>
        <v>0</v>
      </c>
      <c r="H46" s="45">
        <f t="shared" si="7"/>
        <v>0</v>
      </c>
      <c r="I46" s="31">
        <f t="shared" si="6"/>
        <v>0</v>
      </c>
      <c r="J46" s="46">
        <f>SUMIF(Detail!$E$4:$E$88,A46,Detail!$H$4:$H$88)</f>
        <v>0</v>
      </c>
    </row>
    <row r="47" spans="1:12" ht="15.75" customHeight="1">
      <c r="A47" s="29">
        <v>67</v>
      </c>
      <c r="B47" s="44" t="s">
        <v>145</v>
      </c>
      <c r="C47" s="31">
        <v>0</v>
      </c>
      <c r="D47" s="31">
        <v>0</v>
      </c>
      <c r="E47" s="31">
        <f>SUMIFS(Detail!$G$3:$G$92,Detail!$D$3:$D$92,"01",Detail!$E$3:$E$92,'703'!A47)</f>
        <v>0</v>
      </c>
      <c r="F47" s="31"/>
      <c r="G47" s="31">
        <f t="shared" si="8"/>
        <v>0</v>
      </c>
      <c r="H47" s="45">
        <f t="shared" si="7"/>
        <v>0</v>
      </c>
      <c r="I47" s="31">
        <f t="shared" si="6"/>
        <v>0</v>
      </c>
      <c r="J47" s="46">
        <f>SUMIF(Detail!$E$4:$E$88,A47,Detail!$H$4:$H$88)</f>
        <v>0</v>
      </c>
    </row>
    <row r="48" spans="1:12" ht="15.75" customHeight="1">
      <c r="A48" s="29">
        <v>68</v>
      </c>
      <c r="B48" s="44" t="s">
        <v>146</v>
      </c>
      <c r="C48" s="31">
        <v>0</v>
      </c>
      <c r="D48" s="31">
        <v>0</v>
      </c>
      <c r="E48" s="31">
        <f>SUMIFS(Detail!$G$3:$G$92,Detail!$D$3:$D$92,"01",Detail!$E$3:$E$92,'703'!A48)</f>
        <v>0</v>
      </c>
      <c r="F48" s="31"/>
      <c r="G48" s="31">
        <f t="shared" si="8"/>
        <v>0</v>
      </c>
      <c r="H48" s="45">
        <f t="shared" si="7"/>
        <v>0</v>
      </c>
      <c r="I48" s="31">
        <f t="shared" si="6"/>
        <v>0</v>
      </c>
      <c r="J48" s="46">
        <f>SUMIF(Detail!$E$4:$E$88,A48,Detail!$H$4:$H$88)</f>
        <v>0</v>
      </c>
    </row>
    <row r="49" spans="1:10" ht="15.75" customHeight="1">
      <c r="A49" s="29">
        <v>69</v>
      </c>
      <c r="B49" s="44" t="s">
        <v>147</v>
      </c>
      <c r="C49" s="31">
        <v>0</v>
      </c>
      <c r="D49" s="31">
        <v>0</v>
      </c>
      <c r="E49" s="31">
        <f>SUMIFS(Detail!$G$3:$G$92,Detail!$D$3:$D$92,"01",Detail!$E$3:$E$92,'703'!A49)</f>
        <v>0</v>
      </c>
      <c r="F49" s="31"/>
      <c r="G49" s="31">
        <f t="shared" si="8"/>
        <v>0</v>
      </c>
      <c r="H49" s="45">
        <f t="shared" si="7"/>
        <v>0</v>
      </c>
      <c r="I49" s="31">
        <f t="shared" si="6"/>
        <v>0</v>
      </c>
      <c r="J49" s="46">
        <f>SUMIF(Detail!$E$4:$E$88,A49,Detail!$H$4:$H$88)</f>
        <v>0</v>
      </c>
    </row>
    <row r="50" spans="1:10" ht="15.75" customHeight="1">
      <c r="A50" s="29">
        <v>70</v>
      </c>
      <c r="B50" s="44" t="s">
        <v>148</v>
      </c>
      <c r="C50" s="31">
        <v>0</v>
      </c>
      <c r="D50" s="31">
        <v>0</v>
      </c>
      <c r="E50" s="31">
        <f>SUMIFS(Detail!$G$3:$G$92,Detail!$D$3:$D$92,"01",Detail!$E$3:$E$92,'703'!A50)</f>
        <v>0</v>
      </c>
      <c r="F50" s="31"/>
      <c r="G50" s="31">
        <f t="shared" si="8"/>
        <v>0</v>
      </c>
      <c r="H50" s="45">
        <f t="shared" si="7"/>
        <v>0</v>
      </c>
      <c r="I50" s="31">
        <f t="shared" si="6"/>
        <v>0</v>
      </c>
      <c r="J50" s="46">
        <f>SUMIF(Detail!$E$4:$E$88,A50,Detail!$H$4:$H$88)</f>
        <v>0</v>
      </c>
    </row>
    <row r="51" spans="1:10" ht="15.75" customHeight="1">
      <c r="A51" s="29">
        <v>71</v>
      </c>
      <c r="B51" s="44" t="s">
        <v>149</v>
      </c>
      <c r="C51" s="97">
        <v>0</v>
      </c>
      <c r="D51" s="31">
        <v>0</v>
      </c>
      <c r="E51" s="31">
        <v>0</v>
      </c>
      <c r="F51" s="31"/>
      <c r="G51" s="31">
        <f>SUM(D51:F51)</f>
        <v>0</v>
      </c>
      <c r="H51" s="45">
        <f t="shared" si="7"/>
        <v>0</v>
      </c>
      <c r="I51" s="31">
        <f t="shared" si="6"/>
        <v>0</v>
      </c>
      <c r="J51" s="46">
        <f>SUMIF(Detail!$E$4:$E$88,A51,Detail!$H$4:$H$88)</f>
        <v>0</v>
      </c>
    </row>
    <row r="52" spans="1:10" ht="15.75" customHeight="1">
      <c r="A52" s="29">
        <v>72</v>
      </c>
      <c r="B52" s="44" t="s">
        <v>150</v>
      </c>
      <c r="C52" s="26">
        <v>0</v>
      </c>
      <c r="D52" s="31">
        <v>0</v>
      </c>
      <c r="E52" s="31">
        <f>SUMIFS(Detail!$G$3:$G$92,Detail!$D$3:$D$92,"01",Detail!$E$3:$E$92,'703'!A52)</f>
        <v>0</v>
      </c>
      <c r="F52" s="31"/>
      <c r="G52" s="31">
        <f t="shared" si="8"/>
        <v>0</v>
      </c>
      <c r="H52" s="45">
        <f t="shared" si="7"/>
        <v>0</v>
      </c>
      <c r="I52" s="31">
        <f t="shared" si="6"/>
        <v>0</v>
      </c>
      <c r="J52" s="46">
        <f>SUMIF(Detail!$E$4:$E$88,A52,Detail!$H$4:$H$88)</f>
        <v>0</v>
      </c>
    </row>
    <row r="53" spans="1:10" ht="15.75" customHeight="1">
      <c r="A53" s="29">
        <v>73</v>
      </c>
      <c r="B53" s="44" t="s">
        <v>151</v>
      </c>
      <c r="C53" s="31">
        <v>0</v>
      </c>
      <c r="D53" s="31">
        <v>0</v>
      </c>
      <c r="E53" s="31">
        <f>SUMIFS(Detail!$G$3:$G$92,Detail!$D$3:$D$92,"01",Detail!$E$3:$E$92,'703'!A53)</f>
        <v>0</v>
      </c>
      <c r="F53" s="31"/>
      <c r="G53" s="31">
        <f t="shared" ref="G53:G59" si="9">SUM(D53:F53)</f>
        <v>0</v>
      </c>
      <c r="H53" s="45">
        <f t="shared" si="7"/>
        <v>0</v>
      </c>
      <c r="I53" s="31">
        <f t="shared" si="6"/>
        <v>0</v>
      </c>
      <c r="J53" s="46">
        <f>SUMIF(Detail!$E$4:$E$88,A53,Detail!$H$4:$H$88)</f>
        <v>0</v>
      </c>
    </row>
    <row r="54" spans="1:10" ht="15.75" customHeight="1">
      <c r="A54" s="29">
        <v>74</v>
      </c>
      <c r="B54" s="44" t="s">
        <v>115</v>
      </c>
      <c r="C54" s="31">
        <v>0</v>
      </c>
      <c r="D54" s="31">
        <v>0</v>
      </c>
      <c r="E54" s="31">
        <f>SUMIFS(Detail!$G$3:$G$92,Detail!$D$3:$D$92,"01",Detail!$E$3:$E$92,'703'!A54)</f>
        <v>0</v>
      </c>
      <c r="F54" s="31"/>
      <c r="G54" s="31">
        <f t="shared" si="9"/>
        <v>0</v>
      </c>
      <c r="H54" s="45">
        <f t="shared" si="7"/>
        <v>0</v>
      </c>
      <c r="I54" s="31">
        <f t="shared" si="6"/>
        <v>0</v>
      </c>
      <c r="J54" s="46">
        <f>SUMIF(Detail!$E$4:$E$88,A54,Detail!$H$4:$H$88)</f>
        <v>0</v>
      </c>
    </row>
    <row r="55" spans="1:10" ht="15.75" customHeight="1">
      <c r="A55" s="29">
        <v>75</v>
      </c>
      <c r="B55" s="44" t="s">
        <v>152</v>
      </c>
      <c r="C55" s="97">
        <v>0</v>
      </c>
      <c r="D55" s="31">
        <v>0</v>
      </c>
      <c r="E55" s="31">
        <f>SUMIFS(Detail!$G$3:$G$92,Detail!$D$3:$D$92,"01",Detail!$E$3:$E$92,'703'!A55)</f>
        <v>0</v>
      </c>
      <c r="F55" s="31"/>
      <c r="G55" s="31">
        <f t="shared" si="9"/>
        <v>0</v>
      </c>
      <c r="H55" s="45">
        <f t="shared" si="7"/>
        <v>0</v>
      </c>
      <c r="I55" s="31">
        <f t="shared" si="6"/>
        <v>0</v>
      </c>
      <c r="J55" s="46">
        <f>SUMIF(Detail!$E$4:$E$88,A55,Detail!$H$4:$H$88)</f>
        <v>0</v>
      </c>
    </row>
    <row r="56" spans="1:10" ht="15.75" customHeight="1">
      <c r="A56" s="29">
        <v>76</v>
      </c>
      <c r="B56" s="44" t="s">
        <v>109</v>
      </c>
      <c r="C56" s="31">
        <v>0</v>
      </c>
      <c r="D56" s="31">
        <v>0</v>
      </c>
      <c r="E56" s="31">
        <f>SUMIFS(Detail!$G$3:$G$92,Detail!$D$3:$D$92,"01",Detail!$E$3:$E$92,'703'!A56)</f>
        <v>0</v>
      </c>
      <c r="F56" s="31"/>
      <c r="G56" s="31">
        <f t="shared" si="9"/>
        <v>0</v>
      </c>
      <c r="H56" s="45">
        <f t="shared" si="7"/>
        <v>0</v>
      </c>
      <c r="I56" s="31">
        <f t="shared" si="6"/>
        <v>0</v>
      </c>
      <c r="J56" s="46">
        <f>SUMIF(Detail!$E$4:$E$88,A56,Detail!$H$4:$H$88)</f>
        <v>0</v>
      </c>
    </row>
    <row r="57" spans="1:10" ht="15.75" customHeight="1">
      <c r="A57" s="29">
        <v>77</v>
      </c>
      <c r="B57" s="44" t="s">
        <v>110</v>
      </c>
      <c r="C57" s="31">
        <v>0</v>
      </c>
      <c r="D57" s="31">
        <v>0</v>
      </c>
      <c r="E57" s="31">
        <f>SUMIFS(Detail!$G$3:$G$92,Detail!$D$3:$D$92,"01",Detail!$E$3:$E$92,'703'!A57)</f>
        <v>0</v>
      </c>
      <c r="F57" s="31"/>
      <c r="G57" s="31">
        <f t="shared" si="9"/>
        <v>0</v>
      </c>
      <c r="H57" s="45">
        <f t="shared" si="7"/>
        <v>0</v>
      </c>
      <c r="I57" s="31">
        <f t="shared" si="6"/>
        <v>0</v>
      </c>
      <c r="J57" s="46">
        <f>SUMIF(Detail!$E$4:$E$88,A57,Detail!$H$4:$H$88)</f>
        <v>0</v>
      </c>
    </row>
    <row r="58" spans="1:10" ht="15.75" customHeight="1">
      <c r="A58" s="29">
        <v>78</v>
      </c>
      <c r="B58" s="44" t="s">
        <v>111</v>
      </c>
      <c r="C58" s="31">
        <v>0</v>
      </c>
      <c r="D58" s="31">
        <v>0</v>
      </c>
      <c r="E58" s="31">
        <f>SUMIFS(Detail!$G$3:$G$92,Detail!$D$3:$D$92,"01",Detail!$E$3:$E$92,'703'!A58)</f>
        <v>0</v>
      </c>
      <c r="F58" s="31"/>
      <c r="G58" s="31">
        <f t="shared" si="9"/>
        <v>0</v>
      </c>
      <c r="H58" s="45">
        <f t="shared" si="7"/>
        <v>0</v>
      </c>
      <c r="I58" s="31">
        <f t="shared" si="6"/>
        <v>0</v>
      </c>
      <c r="J58" s="46">
        <f>SUMIF(Detail!$E$4:$E$88,A58,Detail!$H$4:$H$88)</f>
        <v>0</v>
      </c>
    </row>
    <row r="59" spans="1:10" ht="15.75" customHeight="1">
      <c r="A59" s="29">
        <v>79</v>
      </c>
      <c r="B59" s="44" t="s">
        <v>118</v>
      </c>
      <c r="C59" s="31">
        <v>0</v>
      </c>
      <c r="D59" s="31">
        <v>0</v>
      </c>
      <c r="E59" s="31">
        <f>SUMIFS(Detail!$G$3:$G$92,Detail!$D$3:$D$92,"01",Detail!$E$3:$E$92,'703'!A59)</f>
        <v>0</v>
      </c>
      <c r="F59" s="31"/>
      <c r="G59" s="31">
        <f t="shared" si="9"/>
        <v>0</v>
      </c>
      <c r="H59" s="45">
        <f t="shared" si="7"/>
        <v>0</v>
      </c>
      <c r="I59" s="31">
        <f t="shared" si="6"/>
        <v>0</v>
      </c>
      <c r="J59" s="46">
        <f>SUMIF(Detail!$E$4:$E$88,A59,Detail!$H$4:$H$88)</f>
        <v>0</v>
      </c>
    </row>
    <row r="60" spans="1:10" ht="15.75" customHeight="1">
      <c r="A60" s="29">
        <v>80</v>
      </c>
      <c r="B60" s="44" t="s">
        <v>153</v>
      </c>
      <c r="C60" s="31">
        <v>0</v>
      </c>
      <c r="D60" s="31">
        <v>0</v>
      </c>
      <c r="E60" s="31">
        <f>SUMIFS(Detail!$G$3:$G$92,Detail!$D$3:$D$92,"01",Detail!$E$3:$E$92,'703'!A60)</f>
        <v>0</v>
      </c>
      <c r="F60" s="31"/>
      <c r="G60" s="31">
        <f t="shared" ref="G60" si="10">SUM(D60:F60)</f>
        <v>0</v>
      </c>
      <c r="H60" s="45">
        <f t="shared" ref="H60" si="11">IFERROR(G60/C60,0)</f>
        <v>0</v>
      </c>
      <c r="I60" s="31">
        <f t="shared" ref="I60" si="12">C60-G60</f>
        <v>0</v>
      </c>
      <c r="J60" s="46">
        <f>SUMIF(Detail!$E$4:$E$88,A60,Detail!$H$4:$H$88)</f>
        <v>0</v>
      </c>
    </row>
    <row r="61" spans="1:10" ht="15.75" customHeight="1">
      <c r="A61" s="29"/>
      <c r="B61" s="44"/>
      <c r="C61" s="31"/>
      <c r="D61" s="31"/>
      <c r="E61" s="31"/>
      <c r="F61" s="31"/>
      <c r="G61" s="31"/>
      <c r="H61" s="45"/>
      <c r="I61" s="31"/>
      <c r="J61" s="46"/>
    </row>
    <row r="62" spans="1:10" ht="15.75" customHeight="1">
      <c r="E62" s="26"/>
      <c r="F62" s="26"/>
      <c r="G62" s="26"/>
      <c r="H62" s="47"/>
      <c r="I62" s="26"/>
      <c r="J62" s="26"/>
    </row>
    <row r="63" spans="1:10" ht="15.75" customHeight="1">
      <c r="A63" s="61"/>
      <c r="B63" s="49" t="s">
        <v>86</v>
      </c>
      <c r="C63" s="62">
        <f>SUM(C40:C61)</f>
        <v>0</v>
      </c>
      <c r="D63" s="63">
        <f>SUM(D40:D61)</f>
        <v>0</v>
      </c>
      <c r="E63" s="62">
        <f>SUM(E40:E61)</f>
        <v>0</v>
      </c>
      <c r="F63" s="62">
        <f>SUM(F62)</f>
        <v>0</v>
      </c>
      <c r="G63" s="62">
        <f>SUM(G40:G61)</f>
        <v>0</v>
      </c>
      <c r="H63" s="64" t="e">
        <f>G63/(C63)</f>
        <v>#DIV/0!</v>
      </c>
      <c r="I63" s="62">
        <f>C63-G63</f>
        <v>0</v>
      </c>
      <c r="J63" s="62">
        <f>SUM(J40:J61)</f>
        <v>0</v>
      </c>
    </row>
    <row r="64" spans="1:10" ht="15.75" customHeight="1">
      <c r="C64" s="65"/>
      <c r="D64" s="65"/>
      <c r="E64" s="26"/>
      <c r="F64" s="26"/>
      <c r="G64" s="26"/>
      <c r="H64" s="65"/>
      <c r="I64" s="26"/>
      <c r="J64" s="26"/>
    </row>
    <row r="65" spans="1:10" ht="15.75" customHeight="1">
      <c r="C65" s="65"/>
      <c r="D65" s="65"/>
      <c r="E65" s="26"/>
      <c r="F65" s="26"/>
      <c r="G65" s="26"/>
      <c r="H65" s="65"/>
      <c r="I65" s="26"/>
      <c r="J65" s="26"/>
    </row>
    <row r="66" spans="1:10" ht="15.75" customHeight="1">
      <c r="A66" s="61"/>
      <c r="B66" s="49" t="s">
        <v>87</v>
      </c>
      <c r="C66" s="62">
        <f>C37+C63</f>
        <v>0</v>
      </c>
      <c r="D66" s="62">
        <f>D63+D37</f>
        <v>0</v>
      </c>
      <c r="E66" s="62">
        <f>E63+E37</f>
        <v>0</v>
      </c>
      <c r="F66" s="62">
        <f>F37+F63</f>
        <v>0</v>
      </c>
      <c r="G66" s="62">
        <f>G37+G63</f>
        <v>0</v>
      </c>
      <c r="H66" s="64" t="e">
        <f>G66/(C66)</f>
        <v>#DIV/0!</v>
      </c>
      <c r="I66" s="62">
        <f>C66-G66</f>
        <v>0</v>
      </c>
      <c r="J66" s="62">
        <f>SUM(J63+J37)</f>
        <v>0</v>
      </c>
    </row>
    <row r="67" spans="1:10" ht="15.75" customHeight="1">
      <c r="H67" s="47"/>
      <c r="I67" s="26"/>
      <c r="J67" s="26"/>
    </row>
    <row r="68" spans="1:10" ht="15.75" customHeight="1">
      <c r="I68" s="26"/>
      <c r="J68" s="26"/>
    </row>
    <row r="69" spans="1:10" ht="15.75" customHeight="1">
      <c r="I69" s="26"/>
      <c r="J69" s="26"/>
    </row>
    <row r="70" spans="1:10" ht="15.75" customHeight="1">
      <c r="I70" s="26"/>
      <c r="J70" s="26"/>
    </row>
    <row r="71" spans="1:10" ht="15.75" customHeight="1">
      <c r="I71" s="26"/>
      <c r="J71" s="26"/>
    </row>
    <row r="72" spans="1:10" ht="15.75" customHeight="1">
      <c r="I72" s="26"/>
      <c r="J72" s="26"/>
    </row>
    <row r="73" spans="1:10" ht="15.75" customHeight="1">
      <c r="I73" s="26"/>
      <c r="J73" s="26"/>
    </row>
    <row r="74" spans="1:10" ht="15.75" customHeight="1">
      <c r="I74" s="26"/>
      <c r="J74" s="26"/>
    </row>
    <row r="75" spans="1:10" ht="15.75" customHeight="1">
      <c r="I75" s="26"/>
      <c r="J75" s="26"/>
    </row>
    <row r="76" spans="1:10" ht="15.75" customHeight="1">
      <c r="I76" s="26"/>
      <c r="J76" s="26"/>
    </row>
    <row r="77" spans="1:10" ht="15.75" customHeight="1">
      <c r="I77" s="26"/>
      <c r="J77" s="26"/>
    </row>
    <row r="78" spans="1:10" ht="15.75" customHeight="1">
      <c r="I78" s="26"/>
      <c r="J78" s="26"/>
    </row>
    <row r="79" spans="1:10" ht="15.75" customHeight="1">
      <c r="I79" s="26"/>
      <c r="J79" s="26"/>
    </row>
    <row r="80" spans="1:10" ht="15.75" customHeight="1">
      <c r="I80" s="26"/>
      <c r="J80" s="26"/>
    </row>
    <row r="81" spans="9:10" ht="15.75" customHeight="1">
      <c r="I81" s="26"/>
      <c r="J81" s="26"/>
    </row>
    <row r="82" spans="9:10" ht="15.75" customHeight="1">
      <c r="I82" s="26"/>
      <c r="J82" s="26"/>
    </row>
    <row r="83" spans="9:10" ht="15.75" customHeight="1">
      <c r="I83" s="26"/>
      <c r="J83" s="26"/>
    </row>
    <row r="84" spans="9:10" ht="15.75" customHeight="1">
      <c r="I84" s="26"/>
      <c r="J84" s="26"/>
    </row>
    <row r="85" spans="9:10" ht="15.75" customHeight="1">
      <c r="I85" s="26"/>
      <c r="J85" s="26"/>
    </row>
    <row r="86" spans="9:10" ht="15.75" customHeight="1">
      <c r="I86" s="26"/>
      <c r="J86" s="26"/>
    </row>
    <row r="87" spans="9:10" ht="15.75" customHeight="1">
      <c r="I87" s="26"/>
      <c r="J87" s="26"/>
    </row>
    <row r="88" spans="9:10" ht="15.75" customHeight="1">
      <c r="I88" s="26"/>
      <c r="J88" s="26"/>
    </row>
    <row r="89" spans="9:10" ht="15.75" customHeight="1">
      <c r="I89" s="26"/>
      <c r="J89" s="26"/>
    </row>
    <row r="90" spans="9:10" ht="15.75" customHeight="1">
      <c r="I90" s="26"/>
      <c r="J90" s="26"/>
    </row>
    <row r="91" spans="9:10" ht="15.75" customHeight="1">
      <c r="I91" s="26"/>
      <c r="J91" s="26"/>
    </row>
    <row r="92" spans="9:10" ht="15.75" customHeight="1">
      <c r="I92" s="26"/>
      <c r="J92" s="26"/>
    </row>
    <row r="93" spans="9:10" ht="15.75" customHeight="1">
      <c r="I93" s="26"/>
      <c r="J93" s="26"/>
    </row>
    <row r="94" spans="9:10" ht="15.75" customHeight="1">
      <c r="I94" s="26"/>
      <c r="J94" s="26"/>
    </row>
    <row r="95" spans="9:10" ht="15.75" customHeight="1">
      <c r="I95" s="26"/>
      <c r="J95" s="26"/>
    </row>
    <row r="96" spans="9:10" ht="15.75" customHeight="1">
      <c r="I96" s="26"/>
      <c r="J96" s="26"/>
    </row>
    <row r="97" spans="9:10" ht="15.75" customHeight="1">
      <c r="I97" s="26"/>
      <c r="J97" s="26"/>
    </row>
    <row r="98" spans="9:10" ht="15.75" customHeight="1">
      <c r="I98" s="26"/>
      <c r="J98" s="26"/>
    </row>
    <row r="99" spans="9:10" ht="15.75" customHeight="1">
      <c r="I99" s="26"/>
      <c r="J99" s="26"/>
    </row>
    <row r="100" spans="9:10" ht="15.75" customHeight="1">
      <c r="I100" s="26"/>
      <c r="J100" s="26"/>
    </row>
    <row r="101" spans="9:10" ht="15.75" customHeight="1">
      <c r="I101" s="26"/>
      <c r="J101" s="26"/>
    </row>
    <row r="102" spans="9:10" ht="15.75" customHeight="1">
      <c r="I102" s="26"/>
      <c r="J102" s="26"/>
    </row>
    <row r="103" spans="9:10" ht="15.75" customHeight="1">
      <c r="I103" s="26"/>
      <c r="J103" s="26"/>
    </row>
    <row r="104" spans="9:10" ht="15.75" customHeight="1">
      <c r="I104" s="26"/>
      <c r="J104" s="26"/>
    </row>
    <row r="105" spans="9:10" ht="15.75" customHeight="1">
      <c r="I105" s="26"/>
      <c r="J105" s="26"/>
    </row>
    <row r="106" spans="9:10" ht="15.75" customHeight="1">
      <c r="I106" s="26"/>
      <c r="J106" s="26"/>
    </row>
    <row r="107" spans="9:10" ht="15.75" customHeight="1">
      <c r="I107" s="26"/>
      <c r="J107" s="26"/>
    </row>
    <row r="108" spans="9:10" ht="15.75" customHeight="1">
      <c r="I108" s="26"/>
      <c r="J108" s="26"/>
    </row>
    <row r="109" spans="9:10" ht="15.75" customHeight="1">
      <c r="I109" s="26"/>
      <c r="J109" s="26"/>
    </row>
    <row r="110" spans="9:10" ht="15.75" customHeight="1">
      <c r="I110" s="26"/>
      <c r="J110" s="26"/>
    </row>
    <row r="111" spans="9:10" ht="15.75" customHeight="1">
      <c r="I111" s="26"/>
      <c r="J111" s="26"/>
    </row>
    <row r="112" spans="9:10" ht="15.75" customHeight="1">
      <c r="I112" s="26"/>
      <c r="J112" s="26"/>
    </row>
    <row r="113" spans="9:10" ht="15.75" customHeight="1">
      <c r="I113" s="26"/>
      <c r="J113" s="26"/>
    </row>
    <row r="114" spans="9:10" ht="15.75" customHeight="1">
      <c r="I114" s="26"/>
      <c r="J114" s="26"/>
    </row>
    <row r="115" spans="9:10" ht="15.75" customHeight="1">
      <c r="I115" s="26"/>
      <c r="J115" s="26"/>
    </row>
    <row r="116" spans="9:10" ht="15.75" customHeight="1">
      <c r="I116" s="26"/>
      <c r="J116" s="26"/>
    </row>
    <row r="117" spans="9:10" ht="15.75" customHeight="1">
      <c r="I117" s="26"/>
      <c r="J117" s="26"/>
    </row>
    <row r="118" spans="9:10" ht="15.75" customHeight="1">
      <c r="I118" s="26"/>
      <c r="J118" s="26"/>
    </row>
    <row r="119" spans="9:10" ht="15.75" customHeight="1">
      <c r="I119" s="26"/>
      <c r="J119" s="26"/>
    </row>
    <row r="120" spans="9:10" ht="15.75" customHeight="1">
      <c r="I120" s="26"/>
      <c r="J120" s="26"/>
    </row>
    <row r="121" spans="9:10" ht="15.75" customHeight="1">
      <c r="I121" s="26"/>
      <c r="J121" s="26"/>
    </row>
    <row r="122" spans="9:10" ht="15.75" customHeight="1">
      <c r="I122" s="26"/>
      <c r="J122" s="26"/>
    </row>
    <row r="123" spans="9:10" ht="15.75" customHeight="1">
      <c r="I123" s="26"/>
      <c r="J123" s="26"/>
    </row>
    <row r="124" spans="9:10" ht="15.75" customHeight="1">
      <c r="I124" s="26"/>
      <c r="J124" s="26"/>
    </row>
    <row r="125" spans="9:10" ht="15.75" customHeight="1">
      <c r="I125" s="26"/>
      <c r="J125" s="26"/>
    </row>
    <row r="126" spans="9:10" ht="15.75" customHeight="1">
      <c r="I126" s="26"/>
      <c r="J126" s="26"/>
    </row>
    <row r="127" spans="9:10" ht="15.75" customHeight="1">
      <c r="I127" s="26"/>
      <c r="J127" s="26"/>
    </row>
    <row r="128" spans="9:10" ht="15.75" customHeight="1">
      <c r="I128" s="26"/>
      <c r="J128" s="26"/>
    </row>
    <row r="129" spans="9:10" ht="15.75" customHeight="1">
      <c r="I129" s="26"/>
      <c r="J129" s="26"/>
    </row>
    <row r="130" spans="9:10" ht="15.75" customHeight="1">
      <c r="I130" s="26"/>
      <c r="J130" s="26"/>
    </row>
    <row r="131" spans="9:10" ht="15.75" customHeight="1">
      <c r="I131" s="26"/>
      <c r="J131" s="26"/>
    </row>
    <row r="132" spans="9:10" ht="15.75" customHeight="1">
      <c r="I132" s="26"/>
      <c r="J132" s="26"/>
    </row>
    <row r="133" spans="9:10" ht="15.75" customHeight="1">
      <c r="I133" s="26"/>
      <c r="J133" s="26"/>
    </row>
    <row r="134" spans="9:10" ht="15.75" customHeight="1">
      <c r="I134" s="26"/>
      <c r="J134" s="26"/>
    </row>
    <row r="135" spans="9:10" ht="15.75" customHeight="1">
      <c r="I135" s="26"/>
      <c r="J135" s="26"/>
    </row>
    <row r="136" spans="9:10" ht="15.75" customHeight="1">
      <c r="I136" s="26"/>
      <c r="J136" s="26"/>
    </row>
    <row r="137" spans="9:10" ht="15.75" customHeight="1">
      <c r="I137" s="26"/>
      <c r="J137" s="26"/>
    </row>
    <row r="138" spans="9:10" ht="15.75" customHeight="1">
      <c r="I138" s="26"/>
      <c r="J138" s="26"/>
    </row>
    <row r="139" spans="9:10" ht="15.75" customHeight="1">
      <c r="I139" s="26"/>
      <c r="J139" s="26"/>
    </row>
    <row r="140" spans="9:10" ht="15.75" customHeight="1">
      <c r="I140" s="26"/>
      <c r="J140" s="26"/>
    </row>
    <row r="141" spans="9:10" ht="15.75" customHeight="1">
      <c r="I141" s="26"/>
      <c r="J141" s="26"/>
    </row>
    <row r="142" spans="9:10" ht="15.75" customHeight="1">
      <c r="I142" s="26"/>
      <c r="J142" s="26"/>
    </row>
    <row r="143" spans="9:10" ht="15.75" customHeight="1">
      <c r="I143" s="26"/>
      <c r="J143" s="26"/>
    </row>
    <row r="144" spans="9:10" ht="15.75" customHeight="1">
      <c r="I144" s="26"/>
      <c r="J144" s="26"/>
    </row>
    <row r="145" spans="9:10" ht="15.75" customHeight="1">
      <c r="I145" s="26"/>
      <c r="J145" s="26"/>
    </row>
    <row r="146" spans="9:10" ht="15.75" customHeight="1">
      <c r="I146" s="26"/>
      <c r="J146" s="26"/>
    </row>
    <row r="147" spans="9:10" ht="15.75" customHeight="1">
      <c r="I147" s="26"/>
      <c r="J147" s="26"/>
    </row>
    <row r="148" spans="9:10" ht="15.75" customHeight="1">
      <c r="I148" s="26"/>
      <c r="J148" s="26"/>
    </row>
    <row r="149" spans="9:10" ht="15.75" customHeight="1">
      <c r="I149" s="26"/>
      <c r="J149" s="26"/>
    </row>
    <row r="150" spans="9:10" ht="15.75" customHeight="1">
      <c r="I150" s="26"/>
      <c r="J150" s="26"/>
    </row>
    <row r="151" spans="9:10" ht="15.75" customHeight="1">
      <c r="I151" s="26"/>
      <c r="J151" s="26"/>
    </row>
    <row r="152" spans="9:10" ht="15.75" customHeight="1">
      <c r="I152" s="26"/>
      <c r="J152" s="26"/>
    </row>
    <row r="153" spans="9:10" ht="15.75" customHeight="1">
      <c r="I153" s="26"/>
      <c r="J153" s="26"/>
    </row>
    <row r="154" spans="9:10" ht="15.75" customHeight="1">
      <c r="I154" s="26"/>
      <c r="J154" s="26"/>
    </row>
    <row r="155" spans="9:10" ht="15.75" customHeight="1">
      <c r="I155" s="26"/>
      <c r="J155" s="26"/>
    </row>
    <row r="156" spans="9:10" ht="15.75" customHeight="1">
      <c r="I156" s="26"/>
      <c r="J156" s="26"/>
    </row>
    <row r="157" spans="9:10" ht="15.75" customHeight="1">
      <c r="I157" s="26"/>
      <c r="J157" s="26"/>
    </row>
    <row r="158" spans="9:10" ht="15.75" customHeight="1">
      <c r="I158" s="26"/>
      <c r="J158" s="26"/>
    </row>
    <row r="159" spans="9:10" ht="15.75" customHeight="1">
      <c r="I159" s="26"/>
      <c r="J159" s="26"/>
    </row>
    <row r="160" spans="9:10" ht="15.75" customHeight="1">
      <c r="I160" s="26"/>
      <c r="J160" s="26"/>
    </row>
    <row r="161" spans="9:10" ht="15.75" customHeight="1">
      <c r="I161" s="26"/>
      <c r="J161" s="26"/>
    </row>
    <row r="162" spans="9:10" ht="15.75" customHeight="1">
      <c r="I162" s="26"/>
      <c r="J162" s="26"/>
    </row>
    <row r="163" spans="9:10" ht="15.75" customHeight="1">
      <c r="I163" s="26"/>
      <c r="J163" s="26"/>
    </row>
    <row r="164" spans="9:10" ht="15.75" customHeight="1">
      <c r="I164" s="26"/>
      <c r="J164" s="26"/>
    </row>
    <row r="165" spans="9:10" ht="15.75" customHeight="1">
      <c r="I165" s="26"/>
      <c r="J165" s="26"/>
    </row>
    <row r="166" spans="9:10" ht="15.75" customHeight="1">
      <c r="I166" s="26"/>
      <c r="J166" s="26"/>
    </row>
    <row r="167" spans="9:10" ht="15.75" customHeight="1">
      <c r="I167" s="26"/>
      <c r="J167" s="26"/>
    </row>
    <row r="168" spans="9:10" ht="15.75" customHeight="1">
      <c r="I168" s="26"/>
      <c r="J168" s="26"/>
    </row>
    <row r="169" spans="9:10" ht="15.75" customHeight="1">
      <c r="I169" s="26"/>
      <c r="J169" s="26"/>
    </row>
    <row r="170" spans="9:10" ht="15.75" customHeight="1">
      <c r="I170" s="26"/>
      <c r="J170" s="26"/>
    </row>
    <row r="171" spans="9:10" ht="15.75" customHeight="1">
      <c r="I171" s="26"/>
      <c r="J171" s="26"/>
    </row>
    <row r="172" spans="9:10" ht="15.75" customHeight="1">
      <c r="I172" s="26"/>
      <c r="J172" s="26"/>
    </row>
    <row r="173" spans="9:10" ht="15.75" customHeight="1">
      <c r="I173" s="26"/>
      <c r="J173" s="26"/>
    </row>
    <row r="174" spans="9:10" ht="15.75" customHeight="1">
      <c r="I174" s="26"/>
      <c r="J174" s="26"/>
    </row>
    <row r="175" spans="9:10" ht="15.75" customHeight="1">
      <c r="I175" s="26"/>
      <c r="J175" s="26"/>
    </row>
    <row r="176" spans="9:10" ht="15.75" customHeight="1">
      <c r="I176" s="26"/>
      <c r="J176" s="26"/>
    </row>
    <row r="177" spans="9:10" ht="15.75" customHeight="1">
      <c r="I177" s="26"/>
      <c r="J177" s="26"/>
    </row>
    <row r="178" spans="9:10" ht="15.75" customHeight="1">
      <c r="I178" s="26"/>
      <c r="J178" s="26"/>
    </row>
    <row r="179" spans="9:10" ht="15.75" customHeight="1">
      <c r="I179" s="26"/>
      <c r="J179" s="26"/>
    </row>
    <row r="180" spans="9:10" ht="15.75" customHeight="1">
      <c r="I180" s="26"/>
      <c r="J180" s="26"/>
    </row>
    <row r="181" spans="9:10" ht="15.75" customHeight="1">
      <c r="I181" s="26"/>
      <c r="J181" s="26"/>
    </row>
    <row r="182" spans="9:10" ht="15.75" customHeight="1">
      <c r="I182" s="26"/>
      <c r="J182" s="26"/>
    </row>
    <row r="183" spans="9:10" ht="15.75" customHeight="1">
      <c r="I183" s="26"/>
      <c r="J183" s="26"/>
    </row>
    <row r="184" spans="9:10" ht="15.75" customHeight="1">
      <c r="I184" s="26"/>
      <c r="J184" s="26"/>
    </row>
    <row r="185" spans="9:10" ht="15.75" customHeight="1">
      <c r="I185" s="26"/>
      <c r="J185" s="26"/>
    </row>
    <row r="186" spans="9:10" ht="15.75" customHeight="1">
      <c r="I186" s="26"/>
      <c r="J186" s="26"/>
    </row>
    <row r="187" spans="9:10" ht="15.75" customHeight="1">
      <c r="I187" s="26"/>
      <c r="J187" s="26"/>
    </row>
    <row r="188" spans="9:10" ht="15.75" customHeight="1">
      <c r="I188" s="26"/>
      <c r="J188" s="26"/>
    </row>
    <row r="189" spans="9:10" ht="15.75" customHeight="1">
      <c r="I189" s="26"/>
      <c r="J189" s="26"/>
    </row>
    <row r="190" spans="9:10" ht="15.75" customHeight="1">
      <c r="I190" s="26"/>
      <c r="J190" s="26"/>
    </row>
    <row r="191" spans="9:10" ht="15.75" customHeight="1">
      <c r="I191" s="26"/>
      <c r="J191" s="26"/>
    </row>
    <row r="192" spans="9:10" ht="15.75" customHeight="1">
      <c r="I192" s="26"/>
      <c r="J192" s="26"/>
    </row>
    <row r="193" spans="9:10" ht="15.75" customHeight="1">
      <c r="I193" s="26"/>
      <c r="J193" s="26"/>
    </row>
    <row r="194" spans="9:10" ht="15.75" customHeight="1">
      <c r="I194" s="26"/>
      <c r="J194" s="26"/>
    </row>
    <row r="195" spans="9:10" ht="15.75" customHeight="1">
      <c r="I195" s="26"/>
      <c r="J195" s="26"/>
    </row>
    <row r="196" spans="9:10" ht="15.75" customHeight="1">
      <c r="I196" s="26"/>
      <c r="J196" s="26"/>
    </row>
    <row r="197" spans="9:10" ht="15.75" customHeight="1">
      <c r="I197" s="26"/>
      <c r="J197" s="26"/>
    </row>
    <row r="198" spans="9:10" ht="15.75" customHeight="1">
      <c r="I198" s="26"/>
      <c r="J198" s="26"/>
    </row>
    <row r="199" spans="9:10" ht="15.75" customHeight="1">
      <c r="I199" s="26"/>
      <c r="J199" s="26"/>
    </row>
    <row r="200" spans="9:10" ht="15.75" customHeight="1">
      <c r="I200" s="26"/>
      <c r="J200" s="26"/>
    </row>
    <row r="201" spans="9:10" ht="15.75" customHeight="1">
      <c r="I201" s="26"/>
      <c r="J201" s="26"/>
    </row>
    <row r="202" spans="9:10" ht="15.75" customHeight="1">
      <c r="I202" s="26"/>
      <c r="J202" s="26"/>
    </row>
    <row r="203" spans="9:10" ht="15.75" customHeight="1">
      <c r="I203" s="26"/>
      <c r="J203" s="26"/>
    </row>
    <row r="204" spans="9:10" ht="15.75" customHeight="1">
      <c r="I204" s="26"/>
      <c r="J204" s="26"/>
    </row>
    <row r="205" spans="9:10" ht="15.75" customHeight="1">
      <c r="I205" s="26"/>
      <c r="J205" s="26"/>
    </row>
    <row r="206" spans="9:10" ht="15.75" customHeight="1">
      <c r="I206" s="26"/>
      <c r="J206" s="26"/>
    </row>
    <row r="207" spans="9:10" ht="15.75" customHeight="1">
      <c r="I207" s="26"/>
      <c r="J207" s="26"/>
    </row>
    <row r="208" spans="9:10" ht="15.75" customHeight="1">
      <c r="I208" s="26"/>
      <c r="J208" s="26"/>
    </row>
    <row r="209" spans="9:10" ht="15.75" customHeight="1">
      <c r="I209" s="26"/>
      <c r="J209" s="26"/>
    </row>
    <row r="210" spans="9:10" ht="15.75" customHeight="1">
      <c r="I210" s="26"/>
      <c r="J210" s="26"/>
    </row>
    <row r="211" spans="9:10" ht="15.75" customHeight="1">
      <c r="I211" s="26"/>
      <c r="J211" s="26"/>
    </row>
    <row r="212" spans="9:10" ht="15.75" customHeight="1">
      <c r="I212" s="26"/>
      <c r="J212" s="26"/>
    </row>
    <row r="213" spans="9:10" ht="15.75" customHeight="1">
      <c r="I213" s="26"/>
      <c r="J213" s="26"/>
    </row>
    <row r="214" spans="9:10" ht="15.75" customHeight="1">
      <c r="I214" s="26"/>
      <c r="J214" s="26"/>
    </row>
    <row r="215" spans="9:10" ht="15.75" customHeight="1">
      <c r="I215" s="26"/>
      <c r="J215" s="26"/>
    </row>
    <row r="216" spans="9:10" ht="15.75" customHeight="1">
      <c r="I216" s="26"/>
      <c r="J216" s="26"/>
    </row>
    <row r="217" spans="9:10" ht="15.75" customHeight="1">
      <c r="I217" s="26"/>
      <c r="J217" s="26"/>
    </row>
    <row r="218" spans="9:10" ht="15.75" customHeight="1">
      <c r="I218" s="26"/>
      <c r="J218" s="26"/>
    </row>
    <row r="219" spans="9:10" ht="15.75" customHeight="1">
      <c r="I219" s="26"/>
      <c r="J219" s="26"/>
    </row>
    <row r="220" spans="9:10" ht="15.75" customHeight="1">
      <c r="I220" s="26"/>
      <c r="J220" s="26"/>
    </row>
    <row r="221" spans="9:10" ht="15.75" customHeight="1">
      <c r="I221" s="26"/>
      <c r="J221" s="26"/>
    </row>
    <row r="222" spans="9:10" ht="15.75" customHeight="1">
      <c r="I222" s="26"/>
      <c r="J222" s="26"/>
    </row>
    <row r="223" spans="9:10" ht="15.75" customHeight="1">
      <c r="I223" s="26"/>
      <c r="J223" s="26"/>
    </row>
    <row r="224" spans="9:10" ht="15.75" customHeight="1">
      <c r="I224" s="26"/>
      <c r="J224" s="26"/>
    </row>
    <row r="225" spans="9:10" ht="15.75" customHeight="1">
      <c r="I225" s="26"/>
      <c r="J225" s="26"/>
    </row>
    <row r="226" spans="9:10" ht="15.75" customHeight="1">
      <c r="I226" s="26"/>
      <c r="J226" s="26"/>
    </row>
    <row r="227" spans="9:10" ht="15.75" customHeight="1">
      <c r="I227" s="26"/>
      <c r="J227" s="26"/>
    </row>
    <row r="228" spans="9:10" ht="15.75" customHeight="1">
      <c r="I228" s="26"/>
      <c r="J228" s="26"/>
    </row>
    <row r="229" spans="9:10" ht="15.75" customHeight="1">
      <c r="I229" s="26"/>
      <c r="J229" s="26"/>
    </row>
    <row r="230" spans="9:10" ht="15.75" customHeight="1">
      <c r="I230" s="26"/>
      <c r="J230" s="26"/>
    </row>
    <row r="231" spans="9:10" ht="15.75" customHeight="1">
      <c r="I231" s="26"/>
      <c r="J231" s="26"/>
    </row>
    <row r="232" spans="9:10" ht="15.75" customHeight="1">
      <c r="I232" s="26"/>
      <c r="J232" s="26"/>
    </row>
    <row r="233" spans="9:10" ht="15.75" customHeight="1">
      <c r="I233" s="26"/>
      <c r="J233" s="26"/>
    </row>
    <row r="234" spans="9:10" ht="15.75" customHeight="1">
      <c r="I234" s="26"/>
      <c r="J234" s="26"/>
    </row>
    <row r="235" spans="9:10" ht="15.75" customHeight="1">
      <c r="I235" s="26"/>
      <c r="J235" s="26"/>
    </row>
    <row r="236" spans="9:10" ht="15.75" customHeight="1">
      <c r="I236" s="26"/>
      <c r="J236" s="26"/>
    </row>
    <row r="237" spans="9:10" ht="15.75" customHeight="1">
      <c r="I237" s="26"/>
      <c r="J237" s="26"/>
    </row>
    <row r="238" spans="9:10" ht="15.75" customHeight="1">
      <c r="I238" s="26"/>
      <c r="J238" s="26"/>
    </row>
    <row r="239" spans="9:10" ht="15.75" customHeight="1">
      <c r="I239" s="26"/>
      <c r="J239" s="26"/>
    </row>
    <row r="240" spans="9:10" ht="15.75" customHeight="1">
      <c r="I240" s="26"/>
      <c r="J240" s="26"/>
    </row>
    <row r="241" spans="9:10" ht="15.75" customHeight="1">
      <c r="I241" s="26"/>
      <c r="J241" s="26"/>
    </row>
    <row r="242" spans="9:10" ht="15.75" customHeight="1">
      <c r="I242" s="26"/>
      <c r="J242" s="26"/>
    </row>
    <row r="243" spans="9:10" ht="15.75" customHeight="1">
      <c r="I243" s="26"/>
      <c r="J243" s="26"/>
    </row>
    <row r="244" spans="9:10" ht="15.75" customHeight="1">
      <c r="I244" s="26"/>
      <c r="J244" s="26"/>
    </row>
    <row r="245" spans="9:10" ht="15.75" customHeight="1">
      <c r="I245" s="26"/>
      <c r="J245" s="26"/>
    </row>
    <row r="246" spans="9:10" ht="15.75" customHeight="1">
      <c r="I246" s="26"/>
      <c r="J246" s="26"/>
    </row>
    <row r="247" spans="9:10" ht="15.75" customHeight="1">
      <c r="I247" s="26"/>
      <c r="J247" s="26"/>
    </row>
    <row r="248" spans="9:10" ht="15.75" customHeight="1">
      <c r="I248" s="26"/>
      <c r="J248" s="26"/>
    </row>
    <row r="249" spans="9:10" ht="15.75" customHeight="1">
      <c r="I249" s="26"/>
      <c r="J249" s="26"/>
    </row>
    <row r="250" spans="9:10" ht="15.75" customHeight="1">
      <c r="I250" s="26"/>
      <c r="J250" s="26"/>
    </row>
    <row r="251" spans="9:10" ht="15.75" customHeight="1">
      <c r="I251" s="26"/>
      <c r="J251" s="26"/>
    </row>
    <row r="252" spans="9:10" ht="15.75" customHeight="1">
      <c r="I252" s="26"/>
      <c r="J252" s="26"/>
    </row>
    <row r="253" spans="9:10" ht="15.75" customHeight="1">
      <c r="I253" s="26"/>
      <c r="J253" s="26"/>
    </row>
    <row r="254" spans="9:10" ht="15.75" customHeight="1">
      <c r="I254" s="26"/>
      <c r="J254" s="26"/>
    </row>
    <row r="255" spans="9:10" ht="15.75" customHeight="1">
      <c r="I255" s="26"/>
      <c r="J255" s="26"/>
    </row>
    <row r="256" spans="9:10" ht="15.75" customHeight="1">
      <c r="I256" s="26"/>
      <c r="J256" s="26"/>
    </row>
    <row r="257" spans="9:10" ht="15.75" customHeight="1">
      <c r="I257" s="26"/>
      <c r="J257" s="26"/>
    </row>
    <row r="258" spans="9:10" ht="15.75" customHeight="1"/>
    <row r="259" spans="9:10" ht="15.75" customHeight="1"/>
    <row r="260" spans="9:10" ht="15.75" customHeight="1"/>
    <row r="261" spans="9:10" ht="15.75" customHeight="1"/>
    <row r="262" spans="9:10" ht="15.75" customHeight="1"/>
    <row r="263" spans="9:10" ht="15.75" customHeight="1"/>
    <row r="264" spans="9:10" ht="15.75" customHeight="1"/>
    <row r="265" spans="9:10" ht="15.75" customHeight="1"/>
    <row r="266" spans="9:10" ht="15.75" customHeight="1"/>
    <row r="267" spans="9:10" ht="15.75" customHeight="1"/>
    <row r="268" spans="9:10" ht="15.75" customHeight="1"/>
    <row r="269" spans="9:10" ht="15.75" customHeight="1"/>
    <row r="270" spans="9:10" ht="15.75" customHeight="1"/>
    <row r="271" spans="9:10" ht="15.75" customHeight="1"/>
    <row r="272" spans="9:10"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sortState xmlns:xlrd2="http://schemas.microsoft.com/office/spreadsheetml/2017/richdata2" ref="A41:B61">
    <sortCondition ref="A41:A61"/>
  </sortState>
  <mergeCells count="18">
    <mergeCell ref="A8:A9"/>
    <mergeCell ref="B8:B9"/>
    <mergeCell ref="C8:C9"/>
    <mergeCell ref="D8:E8"/>
    <mergeCell ref="F8:F9"/>
    <mergeCell ref="I6:J6"/>
    <mergeCell ref="G8:G9"/>
    <mergeCell ref="H8:H9"/>
    <mergeCell ref="I8:I9"/>
    <mergeCell ref="J8:J9"/>
    <mergeCell ref="G6:H6"/>
    <mergeCell ref="G7:H7"/>
    <mergeCell ref="G3:H3"/>
    <mergeCell ref="I3:J3"/>
    <mergeCell ref="G4:H4"/>
    <mergeCell ref="I4:J4"/>
    <mergeCell ref="G5:H5"/>
    <mergeCell ref="I5:J5"/>
  </mergeCells>
  <conditionalFormatting sqref="I1:I6 I67:I1006">
    <cfRule type="cellIs" dxfId="1" priority="1" operator="lessThan">
      <formula>0</formula>
    </cfRule>
  </conditionalFormatting>
  <conditionalFormatting sqref="I12:I66">
    <cfRule type="cellIs" dxfId="0" priority="2" operator="lessThan">
      <formula>0</formula>
    </cfRule>
  </conditionalFormatting>
  <printOptions horizontalCentered="1"/>
  <pageMargins left="0" right="0" top="0.75" bottom="0.75" header="0" footer="0"/>
  <pageSetup scale="54"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outlinePr summaryBelow="0" summaryRight="0"/>
    <pageSetUpPr fitToPage="1"/>
  </sheetPr>
  <dimension ref="A1:L629"/>
  <sheetViews>
    <sheetView workbookViewId="0">
      <selection activeCell="F27" sqref="F27"/>
    </sheetView>
  </sheetViews>
  <sheetFormatPr baseColWidth="10" defaultColWidth="14.5" defaultRowHeight="15" customHeight="1"/>
  <cols>
    <col min="1" max="1" width="39.83203125" customWidth="1"/>
    <col min="2" max="2" width="24.83203125" customWidth="1"/>
    <col min="3" max="3" width="22.6640625" customWidth="1"/>
    <col min="4" max="4" width="12.33203125" customWidth="1"/>
    <col min="5" max="5" width="12" customWidth="1"/>
    <col min="6" max="6" width="34.5" customWidth="1"/>
    <col min="7" max="7" width="14.33203125" customWidth="1"/>
    <col min="9" max="9" width="16.5" customWidth="1"/>
  </cols>
  <sheetData>
    <row r="1" spans="1:12">
      <c r="G1" s="66"/>
      <c r="I1" s="26"/>
    </row>
    <row r="2" spans="1:12" ht="48" customHeight="1">
      <c r="A2" s="67" t="s">
        <v>88</v>
      </c>
      <c r="B2" s="68" t="s">
        <v>89</v>
      </c>
      <c r="C2" s="68" t="s">
        <v>90</v>
      </c>
      <c r="D2" s="67" t="s">
        <v>91</v>
      </c>
      <c r="E2" s="67" t="s">
        <v>92</v>
      </c>
      <c r="F2" s="67" t="s">
        <v>93</v>
      </c>
      <c r="G2" s="67" t="s">
        <v>105</v>
      </c>
      <c r="H2" s="69" t="s">
        <v>94</v>
      </c>
      <c r="I2" s="69" t="s">
        <v>95</v>
      </c>
      <c r="J2" s="69" t="s">
        <v>96</v>
      </c>
      <c r="K2" s="82" t="s">
        <v>107</v>
      </c>
      <c r="L2" s="82" t="s">
        <v>108</v>
      </c>
    </row>
    <row r="3" spans="1:12">
      <c r="A3" s="72"/>
      <c r="B3" s="71"/>
      <c r="C3" s="78"/>
      <c r="D3" s="73"/>
      <c r="E3" s="76"/>
      <c r="F3" s="72"/>
      <c r="G3" s="74"/>
      <c r="H3" s="75"/>
      <c r="I3" s="75"/>
      <c r="J3" s="76"/>
      <c r="K3" s="92"/>
      <c r="L3" s="81"/>
    </row>
    <row r="4" spans="1:12">
      <c r="A4" s="72"/>
      <c r="B4" s="71"/>
      <c r="C4" s="78"/>
      <c r="D4" s="73"/>
      <c r="E4" s="76"/>
      <c r="F4" s="72"/>
      <c r="G4" s="74"/>
      <c r="H4" s="75"/>
      <c r="I4" s="75"/>
      <c r="J4" s="76"/>
      <c r="K4" s="92"/>
      <c r="L4" s="81"/>
    </row>
    <row r="5" spans="1:12">
      <c r="A5" s="72"/>
      <c r="B5" s="71"/>
      <c r="C5" s="78"/>
      <c r="D5" s="73"/>
      <c r="E5" s="76"/>
      <c r="F5" s="72"/>
      <c r="G5" s="74"/>
      <c r="H5" s="75"/>
      <c r="I5" s="75"/>
      <c r="J5" s="76"/>
      <c r="K5" s="92"/>
      <c r="L5" s="81"/>
    </row>
    <row r="6" spans="1:12">
      <c r="A6" s="72"/>
      <c r="B6" s="71"/>
      <c r="C6" s="78"/>
      <c r="D6" s="73"/>
      <c r="E6" s="76"/>
      <c r="F6" s="72"/>
      <c r="G6" s="74"/>
      <c r="H6" s="75"/>
      <c r="I6" s="75"/>
      <c r="J6" s="76"/>
      <c r="K6" s="92"/>
      <c r="L6" s="81"/>
    </row>
    <row r="7" spans="1:12">
      <c r="A7" s="72"/>
      <c r="B7" s="71"/>
      <c r="C7" s="78"/>
      <c r="D7" s="73"/>
      <c r="E7" s="76"/>
      <c r="F7" s="72"/>
      <c r="G7" s="74"/>
      <c r="H7" s="75"/>
      <c r="I7" s="75"/>
      <c r="J7" s="76"/>
      <c r="K7" s="92"/>
      <c r="L7" s="81"/>
    </row>
    <row r="8" spans="1:12">
      <c r="A8" s="72"/>
      <c r="B8" s="71"/>
      <c r="C8" s="78"/>
      <c r="D8" s="73"/>
      <c r="E8" s="76"/>
      <c r="F8" s="72"/>
      <c r="G8" s="74"/>
      <c r="H8" s="75"/>
      <c r="I8" s="75"/>
      <c r="J8" s="76"/>
      <c r="K8" s="92"/>
      <c r="L8" s="81"/>
    </row>
    <row r="9" spans="1:12">
      <c r="A9" s="72"/>
      <c r="B9" s="71"/>
      <c r="C9" s="78"/>
      <c r="D9" s="73"/>
      <c r="E9" s="76"/>
      <c r="F9" s="72"/>
      <c r="G9" s="74"/>
      <c r="H9" s="75"/>
      <c r="I9" s="75"/>
      <c r="J9" s="76"/>
      <c r="K9" s="92"/>
      <c r="L9" s="81"/>
    </row>
    <row r="10" spans="1:12">
      <c r="A10" s="72"/>
      <c r="B10" s="71"/>
      <c r="C10" s="78"/>
      <c r="D10" s="73"/>
      <c r="E10" s="76"/>
      <c r="F10" s="72"/>
      <c r="G10" s="74"/>
      <c r="H10" s="75"/>
      <c r="I10" s="75"/>
      <c r="J10" s="76"/>
      <c r="K10" s="92"/>
      <c r="L10" s="81"/>
    </row>
    <row r="11" spans="1:12">
      <c r="A11" s="72"/>
      <c r="B11" s="71"/>
      <c r="C11" s="78"/>
      <c r="D11" s="73"/>
      <c r="E11" s="76"/>
      <c r="F11" s="72"/>
      <c r="G11" s="74"/>
      <c r="H11" s="75"/>
      <c r="I11" s="75"/>
      <c r="J11" s="76"/>
      <c r="K11" s="92"/>
      <c r="L11" s="81"/>
    </row>
    <row r="12" spans="1:12">
      <c r="A12" s="72"/>
      <c r="B12" s="71"/>
      <c r="C12" s="78"/>
      <c r="D12" s="73"/>
      <c r="E12" s="76"/>
      <c r="F12" s="72"/>
      <c r="G12" s="74"/>
      <c r="H12" s="75"/>
      <c r="I12" s="75"/>
      <c r="J12" s="76"/>
      <c r="K12" s="92"/>
      <c r="L12" s="81"/>
    </row>
    <row r="13" spans="1:12">
      <c r="A13" s="72"/>
      <c r="B13" s="71"/>
      <c r="C13" s="78"/>
      <c r="D13" s="73"/>
      <c r="E13" s="76"/>
      <c r="F13" s="72"/>
      <c r="G13" s="74"/>
      <c r="H13" s="75"/>
      <c r="I13" s="75"/>
      <c r="J13" s="76"/>
      <c r="K13" s="92"/>
      <c r="L13" s="81"/>
    </row>
    <row r="14" spans="1:12">
      <c r="A14" s="72"/>
      <c r="B14" s="71"/>
      <c r="C14" s="78"/>
      <c r="D14" s="73"/>
      <c r="E14" s="76"/>
      <c r="F14" s="72"/>
      <c r="G14" s="74"/>
      <c r="H14" s="75"/>
      <c r="I14" s="75"/>
      <c r="J14" s="76"/>
      <c r="L14" s="81"/>
    </row>
    <row r="15" spans="1:12">
      <c r="A15" s="72"/>
      <c r="B15" s="71"/>
      <c r="C15" s="78"/>
      <c r="D15" s="73"/>
      <c r="E15" s="76"/>
      <c r="F15" s="72"/>
      <c r="G15" s="74"/>
      <c r="H15" s="75"/>
      <c r="I15" s="75"/>
      <c r="J15" s="76"/>
      <c r="L15" s="81"/>
    </row>
    <row r="16" spans="1:12">
      <c r="A16" s="72"/>
      <c r="B16" s="71"/>
      <c r="C16" s="78"/>
      <c r="D16" s="73"/>
      <c r="E16" s="73"/>
      <c r="F16" s="72"/>
      <c r="G16" s="74"/>
      <c r="H16" s="75"/>
      <c r="I16" s="75"/>
      <c r="J16" s="76"/>
      <c r="L16" s="81"/>
    </row>
    <row r="17" spans="1:12">
      <c r="A17" s="72"/>
      <c r="B17" s="71"/>
      <c r="C17" s="78"/>
      <c r="D17" s="73"/>
      <c r="E17" s="73"/>
      <c r="F17" s="72"/>
      <c r="G17" s="74"/>
      <c r="H17" s="75"/>
      <c r="I17" s="75"/>
      <c r="J17" s="76"/>
      <c r="L17" s="81"/>
    </row>
    <row r="18" spans="1:12">
      <c r="A18" s="72"/>
      <c r="B18" s="71"/>
      <c r="C18" s="78"/>
      <c r="D18" s="73"/>
      <c r="E18" s="76"/>
      <c r="F18" s="72"/>
      <c r="G18" s="74"/>
      <c r="H18" s="75"/>
      <c r="I18" s="75"/>
      <c r="J18" s="76"/>
      <c r="K18" s="92"/>
      <c r="L18" s="81"/>
    </row>
    <row r="19" spans="1:12">
      <c r="A19" s="72"/>
      <c r="B19" s="71"/>
      <c r="C19" s="78"/>
      <c r="D19" s="73"/>
      <c r="E19" s="76"/>
      <c r="F19" s="72"/>
      <c r="G19" s="74"/>
      <c r="H19" s="75"/>
      <c r="I19" s="75"/>
      <c r="J19" s="76"/>
      <c r="K19" s="92"/>
      <c r="L19" s="81"/>
    </row>
    <row r="20" spans="1:12">
      <c r="A20" s="72"/>
      <c r="B20" s="71"/>
      <c r="C20" s="78"/>
      <c r="D20" s="73"/>
      <c r="E20" s="73"/>
      <c r="F20" s="72"/>
      <c r="G20" s="74"/>
      <c r="H20" s="75"/>
      <c r="I20" s="75"/>
      <c r="J20" s="76"/>
      <c r="K20" s="92"/>
      <c r="L20" s="81"/>
    </row>
    <row r="21" spans="1:12">
      <c r="A21" s="72"/>
      <c r="B21" s="71"/>
      <c r="C21" s="78"/>
      <c r="D21" s="73"/>
      <c r="E21" s="76"/>
      <c r="F21" s="72"/>
      <c r="G21" s="74"/>
      <c r="H21" s="75"/>
      <c r="I21" s="75"/>
      <c r="J21" s="76"/>
      <c r="K21" s="92"/>
      <c r="L21" s="81"/>
    </row>
    <row r="22" spans="1:12">
      <c r="A22" s="72"/>
      <c r="B22" s="71"/>
      <c r="C22" s="78"/>
      <c r="D22" s="73"/>
      <c r="E22" s="76"/>
      <c r="F22" s="72"/>
      <c r="G22" s="74"/>
      <c r="H22" s="75"/>
      <c r="I22" s="75"/>
      <c r="J22" s="76"/>
      <c r="K22" s="92"/>
      <c r="L22" s="81"/>
    </row>
    <row r="23" spans="1:12">
      <c r="A23" s="72"/>
      <c r="B23" s="71"/>
      <c r="C23" s="78"/>
      <c r="D23" s="73"/>
      <c r="E23" s="76"/>
      <c r="F23" s="72"/>
      <c r="G23" s="74"/>
      <c r="H23" s="75"/>
      <c r="I23" s="75"/>
      <c r="J23" s="76"/>
      <c r="K23" s="92"/>
      <c r="L23" s="81"/>
    </row>
    <row r="24" spans="1:12">
      <c r="A24" s="72"/>
      <c r="B24" s="71"/>
      <c r="C24" s="78"/>
      <c r="D24" s="73"/>
      <c r="E24" s="76"/>
      <c r="F24" s="72"/>
      <c r="G24" s="74"/>
      <c r="H24" s="75"/>
      <c r="I24" s="75"/>
      <c r="J24" s="76"/>
      <c r="K24" s="92"/>
      <c r="L24" s="81"/>
    </row>
    <row r="25" spans="1:12">
      <c r="A25" s="72"/>
      <c r="B25" s="71"/>
      <c r="C25" s="78"/>
      <c r="D25" s="73"/>
      <c r="E25" s="76"/>
      <c r="F25" s="72"/>
      <c r="G25" s="74"/>
      <c r="H25" s="75"/>
      <c r="I25" s="75"/>
      <c r="J25" s="76"/>
      <c r="K25" s="92"/>
      <c r="L25" s="81"/>
    </row>
    <row r="26" spans="1:12">
      <c r="A26" s="72"/>
      <c r="B26" s="71"/>
      <c r="C26" s="78"/>
      <c r="D26" s="73"/>
      <c r="E26" s="76"/>
      <c r="F26" s="72"/>
      <c r="G26" s="74"/>
      <c r="H26" s="75"/>
      <c r="I26" s="75"/>
      <c r="J26" s="76"/>
      <c r="K26" s="92"/>
      <c r="L26" s="81"/>
    </row>
    <row r="27" spans="1:12">
      <c r="A27" s="72"/>
      <c r="B27" s="71"/>
      <c r="C27" s="78"/>
      <c r="D27" s="73"/>
      <c r="E27" s="76"/>
      <c r="F27" s="72"/>
      <c r="G27" s="74"/>
      <c r="H27" s="75"/>
      <c r="I27" s="75"/>
      <c r="J27" s="76"/>
      <c r="K27" s="92"/>
      <c r="L27" s="81"/>
    </row>
    <row r="28" spans="1:12">
      <c r="A28" s="72"/>
      <c r="B28" s="71"/>
      <c r="C28" s="78"/>
      <c r="D28" s="73"/>
      <c r="E28" s="76"/>
      <c r="F28" s="72"/>
      <c r="G28" s="74"/>
      <c r="H28" s="75"/>
      <c r="I28" s="75"/>
      <c r="J28" s="76"/>
      <c r="K28" s="92"/>
      <c r="L28" s="81"/>
    </row>
    <row r="29" spans="1:12">
      <c r="A29" s="72"/>
      <c r="B29" s="71"/>
      <c r="C29" s="78"/>
      <c r="D29" s="73"/>
      <c r="E29" s="76"/>
      <c r="F29" s="72"/>
      <c r="G29" s="74"/>
      <c r="H29" s="75"/>
      <c r="I29" s="75"/>
      <c r="J29" s="76"/>
      <c r="K29" s="92"/>
      <c r="L29" s="81"/>
    </row>
    <row r="30" spans="1:12">
      <c r="A30" s="72"/>
      <c r="B30" s="71"/>
      <c r="C30" s="78"/>
      <c r="D30" s="73"/>
      <c r="E30" s="76"/>
      <c r="F30" s="72"/>
      <c r="G30" s="74"/>
      <c r="H30" s="75"/>
      <c r="I30" s="75"/>
      <c r="J30" s="76"/>
      <c r="K30" s="92"/>
      <c r="L30" s="81"/>
    </row>
    <row r="31" spans="1:12">
      <c r="A31" s="72"/>
      <c r="B31" s="71"/>
      <c r="C31" s="78"/>
      <c r="D31" s="73"/>
      <c r="E31" s="76"/>
      <c r="F31" s="72"/>
      <c r="G31" s="74"/>
      <c r="H31" s="75"/>
      <c r="I31" s="75"/>
      <c r="J31" s="76"/>
      <c r="K31" s="92"/>
      <c r="L31" s="81"/>
    </row>
    <row r="32" spans="1:12">
      <c r="A32" s="72"/>
      <c r="B32" s="71"/>
      <c r="C32" s="78"/>
      <c r="D32" s="73"/>
      <c r="E32" s="76"/>
      <c r="F32" s="72"/>
      <c r="G32" s="74"/>
      <c r="H32" s="75"/>
      <c r="I32" s="75"/>
      <c r="J32" s="76"/>
      <c r="K32" s="92"/>
      <c r="L32" s="81"/>
    </row>
    <row r="33" spans="1:12">
      <c r="A33" s="72"/>
      <c r="B33" s="71"/>
      <c r="C33" s="78"/>
      <c r="D33" s="73"/>
      <c r="E33" s="76"/>
      <c r="F33" s="72"/>
      <c r="G33" s="74"/>
      <c r="H33" s="75"/>
      <c r="I33" s="75"/>
      <c r="J33" s="76"/>
      <c r="K33" s="92"/>
      <c r="L33" s="81"/>
    </row>
    <row r="34" spans="1:12">
      <c r="A34" s="72"/>
      <c r="B34" s="71"/>
      <c r="C34" s="78"/>
      <c r="D34" s="73"/>
      <c r="E34" s="76"/>
      <c r="F34" s="72"/>
      <c r="G34" s="74"/>
      <c r="H34" s="75"/>
      <c r="I34" s="75"/>
      <c r="J34" s="76"/>
      <c r="K34" s="92"/>
      <c r="L34" s="81"/>
    </row>
    <row r="35" spans="1:12">
      <c r="A35" s="72"/>
      <c r="B35" s="71"/>
      <c r="C35" s="78"/>
      <c r="D35" s="73"/>
      <c r="E35" s="76"/>
      <c r="F35" s="72"/>
      <c r="G35" s="74"/>
      <c r="H35" s="75"/>
      <c r="I35" s="75"/>
      <c r="J35" s="76"/>
      <c r="K35" s="92"/>
      <c r="L35" s="81"/>
    </row>
    <row r="36" spans="1:12">
      <c r="A36" s="72"/>
      <c r="B36" s="71"/>
      <c r="C36" s="78"/>
      <c r="D36" s="73"/>
      <c r="E36" s="76"/>
      <c r="F36" s="72"/>
      <c r="G36" s="74"/>
      <c r="H36" s="75"/>
      <c r="I36" s="75"/>
      <c r="J36" s="76"/>
      <c r="K36" s="92"/>
      <c r="L36" s="81"/>
    </row>
    <row r="37" spans="1:12">
      <c r="A37" s="72"/>
      <c r="B37" s="71"/>
      <c r="C37" s="78"/>
      <c r="D37" s="73"/>
      <c r="E37" s="76"/>
      <c r="F37" s="72"/>
      <c r="G37" s="74"/>
      <c r="H37" s="75"/>
      <c r="I37" s="75"/>
      <c r="J37" s="76"/>
      <c r="K37" s="92"/>
      <c r="L37" s="81"/>
    </row>
    <row r="38" spans="1:12">
      <c r="A38" s="72"/>
      <c r="B38" s="71"/>
      <c r="C38" s="78"/>
      <c r="D38" s="73"/>
      <c r="E38" s="76"/>
      <c r="F38" s="72"/>
      <c r="G38" s="74"/>
      <c r="H38" s="75"/>
      <c r="I38" s="75"/>
      <c r="J38" s="76"/>
      <c r="K38" s="92"/>
      <c r="L38" s="81"/>
    </row>
    <row r="39" spans="1:12">
      <c r="A39" s="72"/>
      <c r="B39" s="71"/>
      <c r="C39" s="78"/>
      <c r="D39" s="73"/>
      <c r="E39" s="76"/>
      <c r="F39" s="72"/>
      <c r="G39" s="74"/>
      <c r="H39" s="75"/>
      <c r="I39" s="75"/>
      <c r="J39" s="76"/>
      <c r="K39" s="92"/>
      <c r="L39" s="81"/>
    </row>
    <row r="40" spans="1:12">
      <c r="A40" s="72"/>
      <c r="B40" s="71"/>
      <c r="C40" s="78"/>
      <c r="D40" s="73"/>
      <c r="E40" s="76"/>
      <c r="F40" s="72"/>
      <c r="G40" s="74"/>
      <c r="H40" s="75"/>
      <c r="I40" s="75"/>
      <c r="J40" s="76"/>
      <c r="K40" s="92"/>
      <c r="L40" s="81"/>
    </row>
    <row r="41" spans="1:12">
      <c r="A41" s="72"/>
      <c r="B41" s="71"/>
      <c r="C41" s="78"/>
      <c r="D41" s="73"/>
      <c r="E41" s="76"/>
      <c r="F41" s="72"/>
      <c r="G41" s="74"/>
      <c r="H41" s="75"/>
      <c r="I41" s="75"/>
      <c r="J41" s="76"/>
      <c r="K41" s="92"/>
      <c r="L41" s="81"/>
    </row>
    <row r="42" spans="1:12">
      <c r="A42" s="72"/>
      <c r="B42" s="71"/>
      <c r="C42" s="78"/>
      <c r="D42" s="73"/>
      <c r="E42" s="76"/>
      <c r="F42" s="72"/>
      <c r="G42" s="74"/>
      <c r="H42" s="75"/>
      <c r="I42" s="75"/>
      <c r="J42" s="76"/>
      <c r="K42" s="92"/>
      <c r="L42" s="81"/>
    </row>
    <row r="43" spans="1:12">
      <c r="A43" s="72"/>
      <c r="B43" s="71"/>
      <c r="C43" s="78"/>
      <c r="D43" s="73"/>
      <c r="E43" s="76"/>
      <c r="F43" s="72"/>
      <c r="G43" s="74"/>
      <c r="H43" s="75"/>
      <c r="I43" s="75"/>
      <c r="J43" s="76"/>
      <c r="K43" s="92"/>
      <c r="L43" s="81"/>
    </row>
    <row r="44" spans="1:12">
      <c r="A44" s="72"/>
      <c r="B44" s="71"/>
      <c r="C44" s="78"/>
      <c r="D44" s="73"/>
      <c r="E44" s="76"/>
      <c r="F44" s="72"/>
      <c r="G44" s="74"/>
      <c r="H44" s="75"/>
      <c r="I44" s="75"/>
      <c r="J44" s="76"/>
      <c r="K44" s="92"/>
      <c r="L44" s="81"/>
    </row>
    <row r="45" spans="1:12">
      <c r="A45" s="72"/>
      <c r="B45" s="71"/>
      <c r="C45" s="78"/>
      <c r="D45" s="73"/>
      <c r="E45" s="76"/>
      <c r="F45" s="72"/>
      <c r="G45" s="74"/>
      <c r="H45" s="75"/>
      <c r="I45" s="75"/>
      <c r="J45" s="76"/>
      <c r="K45" s="92"/>
      <c r="L45" s="81"/>
    </row>
    <row r="46" spans="1:12">
      <c r="A46" s="72"/>
      <c r="B46" s="71"/>
      <c r="C46" s="78"/>
      <c r="D46" s="73"/>
      <c r="E46" s="76"/>
      <c r="F46" s="72"/>
      <c r="G46" s="74"/>
      <c r="H46" s="75"/>
      <c r="I46" s="75"/>
      <c r="J46" s="76"/>
      <c r="K46" s="92"/>
      <c r="L46" s="81"/>
    </row>
    <row r="47" spans="1:12" ht="60" customHeight="1">
      <c r="A47" s="72"/>
      <c r="B47" s="71"/>
      <c r="C47" s="78"/>
      <c r="D47" s="73"/>
      <c r="E47" s="76"/>
      <c r="F47" s="72"/>
      <c r="G47" s="74"/>
      <c r="H47" s="75"/>
      <c r="I47" s="75"/>
      <c r="J47" s="76"/>
      <c r="K47" s="92"/>
      <c r="L47" s="81"/>
    </row>
    <row r="48" spans="1:12">
      <c r="A48" s="72"/>
      <c r="B48" s="71"/>
      <c r="C48" s="78"/>
      <c r="D48" s="73"/>
      <c r="E48" s="73"/>
      <c r="F48" s="72"/>
      <c r="G48" s="74"/>
      <c r="H48" s="75"/>
      <c r="I48" s="75"/>
      <c r="J48" s="76"/>
      <c r="K48" s="92"/>
      <c r="L48" s="81"/>
    </row>
    <row r="49" spans="1:12">
      <c r="A49" s="72"/>
      <c r="B49" s="71"/>
      <c r="C49" s="78"/>
      <c r="D49" s="73"/>
      <c r="E49" s="76"/>
      <c r="F49" s="72"/>
      <c r="G49" s="74"/>
      <c r="H49" s="75"/>
      <c r="I49" s="75"/>
      <c r="J49" s="76"/>
      <c r="K49" s="92"/>
      <c r="L49" s="81"/>
    </row>
    <row r="50" spans="1:12">
      <c r="A50" s="72"/>
      <c r="B50" s="71"/>
      <c r="C50" s="78"/>
      <c r="D50" s="73"/>
      <c r="E50" s="76"/>
      <c r="F50" s="72"/>
      <c r="G50" s="74"/>
      <c r="H50" s="75"/>
      <c r="I50" s="75"/>
      <c r="J50" s="76"/>
      <c r="K50" s="92"/>
      <c r="L50" s="81"/>
    </row>
    <row r="51" spans="1:12">
      <c r="A51" s="72"/>
      <c r="B51" s="71"/>
      <c r="C51" s="78"/>
      <c r="D51" s="73"/>
      <c r="E51" s="73"/>
      <c r="F51" s="72"/>
      <c r="G51" s="74"/>
      <c r="H51" s="75"/>
      <c r="I51" s="75"/>
      <c r="J51" s="76"/>
      <c r="K51" s="92"/>
      <c r="L51" s="81"/>
    </row>
    <row r="52" spans="1:12">
      <c r="A52" s="72"/>
      <c r="B52" s="71"/>
      <c r="C52" s="78"/>
      <c r="D52" s="73"/>
      <c r="E52" s="76"/>
      <c r="F52" s="72"/>
      <c r="G52" s="74"/>
      <c r="H52" s="75"/>
      <c r="I52" s="75"/>
      <c r="J52" s="76"/>
      <c r="K52" s="92"/>
      <c r="L52" s="81"/>
    </row>
    <row r="53" spans="1:12">
      <c r="A53" s="72"/>
      <c r="B53" s="71"/>
      <c r="C53" s="78"/>
      <c r="D53" s="73"/>
      <c r="E53" s="76"/>
      <c r="F53" s="72"/>
      <c r="G53" s="74"/>
      <c r="H53" s="75"/>
      <c r="I53" s="75"/>
      <c r="J53" s="76"/>
      <c r="K53" s="92"/>
      <c r="L53" s="81"/>
    </row>
    <row r="54" spans="1:12">
      <c r="A54" s="72"/>
      <c r="B54" s="71"/>
      <c r="C54" s="78"/>
      <c r="D54" s="73"/>
      <c r="E54" s="76"/>
      <c r="F54" s="72"/>
      <c r="G54" s="74"/>
      <c r="H54" s="75"/>
      <c r="I54" s="75"/>
      <c r="J54" s="76"/>
      <c r="K54" s="92"/>
      <c r="L54" s="81"/>
    </row>
    <row r="55" spans="1:12">
      <c r="A55" s="72"/>
      <c r="B55" s="71"/>
      <c r="C55" s="78"/>
      <c r="D55" s="73"/>
      <c r="E55" s="76"/>
      <c r="F55" s="72"/>
      <c r="G55" s="74"/>
      <c r="H55" s="75"/>
      <c r="I55" s="75"/>
      <c r="J55" s="76"/>
      <c r="K55" s="92"/>
      <c r="L55" s="81"/>
    </row>
    <row r="56" spans="1:12">
      <c r="A56" s="72"/>
      <c r="B56" s="71"/>
      <c r="C56" s="78"/>
      <c r="D56" s="73"/>
      <c r="E56" s="73"/>
      <c r="F56" s="72"/>
      <c r="G56" s="74"/>
      <c r="H56" s="75"/>
      <c r="I56" s="75"/>
      <c r="J56" s="76"/>
      <c r="K56" s="92"/>
      <c r="L56" s="81"/>
    </row>
    <row r="57" spans="1:12">
      <c r="A57" s="72"/>
      <c r="B57" s="71"/>
      <c r="C57" s="78"/>
      <c r="D57" s="73"/>
      <c r="E57" s="73"/>
      <c r="F57" s="72"/>
      <c r="G57" s="74"/>
      <c r="H57" s="75"/>
      <c r="I57" s="75"/>
      <c r="J57" s="76"/>
      <c r="K57" s="92"/>
      <c r="L57" s="81"/>
    </row>
    <row r="58" spans="1:12">
      <c r="A58" s="72"/>
      <c r="B58" s="71"/>
      <c r="C58" s="78"/>
      <c r="D58" s="73"/>
      <c r="E58" s="76"/>
      <c r="F58" s="72"/>
      <c r="G58" s="74"/>
      <c r="H58" s="75"/>
      <c r="I58" s="75"/>
      <c r="J58" s="76"/>
      <c r="K58" s="92"/>
      <c r="L58" s="81"/>
    </row>
    <row r="59" spans="1:12">
      <c r="A59" s="72"/>
      <c r="B59" s="71"/>
      <c r="C59" s="78"/>
      <c r="D59" s="73"/>
      <c r="E59" s="76"/>
      <c r="F59" s="72"/>
      <c r="G59" s="74"/>
      <c r="H59" s="75"/>
      <c r="I59" s="75"/>
      <c r="J59" s="76"/>
      <c r="K59" s="92"/>
      <c r="L59" s="81"/>
    </row>
    <row r="60" spans="1:12">
      <c r="A60" s="72"/>
      <c r="B60" s="71"/>
      <c r="C60" s="78"/>
      <c r="D60" s="73"/>
      <c r="E60" s="76"/>
      <c r="F60" s="72"/>
      <c r="G60" s="74"/>
      <c r="H60" s="75"/>
      <c r="I60" s="75"/>
      <c r="J60" s="76"/>
      <c r="K60" s="92"/>
      <c r="L60" s="81"/>
    </row>
    <row r="61" spans="1:12">
      <c r="A61" s="72"/>
      <c r="B61" s="71"/>
      <c r="C61" s="78"/>
      <c r="D61" s="73"/>
      <c r="E61" s="76"/>
      <c r="F61" s="72"/>
      <c r="G61" s="74"/>
      <c r="H61" s="75"/>
      <c r="I61" s="75"/>
      <c r="J61" s="76"/>
      <c r="K61" s="92"/>
      <c r="L61" s="81"/>
    </row>
    <row r="62" spans="1:12">
      <c r="A62" s="72"/>
      <c r="B62" s="71"/>
      <c r="C62" s="78"/>
      <c r="D62" s="73"/>
      <c r="E62" s="76"/>
      <c r="F62" s="72"/>
      <c r="G62" s="74"/>
      <c r="H62" s="75"/>
      <c r="I62" s="75"/>
      <c r="J62" s="76"/>
      <c r="K62" s="92"/>
      <c r="L62" s="81"/>
    </row>
    <row r="63" spans="1:12">
      <c r="A63" s="72"/>
      <c r="B63" s="71"/>
      <c r="C63" s="78"/>
      <c r="D63" s="73"/>
      <c r="E63" s="76"/>
      <c r="F63" s="72"/>
      <c r="G63" s="74"/>
      <c r="H63" s="75"/>
      <c r="I63" s="75"/>
      <c r="J63" s="76"/>
      <c r="K63" s="92"/>
      <c r="L63" s="81"/>
    </row>
    <row r="64" spans="1:12">
      <c r="A64" s="72"/>
      <c r="B64" s="71"/>
      <c r="C64" s="78"/>
      <c r="D64" s="73"/>
      <c r="E64" s="76"/>
      <c r="F64" s="72"/>
      <c r="G64" s="74"/>
      <c r="H64" s="75"/>
      <c r="I64" s="75"/>
      <c r="J64" s="76"/>
      <c r="K64" s="92"/>
      <c r="L64" s="81"/>
    </row>
    <row r="65" spans="1:12">
      <c r="A65" s="72"/>
      <c r="B65" s="71"/>
      <c r="C65" s="78"/>
      <c r="D65" s="73"/>
      <c r="E65" s="76"/>
      <c r="F65" s="72"/>
      <c r="G65" s="74"/>
      <c r="H65" s="75"/>
      <c r="I65" s="75"/>
      <c r="J65" s="76"/>
      <c r="K65" s="92"/>
      <c r="L65" s="81"/>
    </row>
    <row r="66" spans="1:12">
      <c r="A66" s="72"/>
      <c r="B66" s="71"/>
      <c r="C66" s="78"/>
      <c r="D66" s="73"/>
      <c r="E66" s="76"/>
      <c r="F66" s="72"/>
      <c r="G66" s="74"/>
      <c r="H66" s="75"/>
      <c r="I66" s="75"/>
      <c r="J66" s="76"/>
      <c r="K66" s="92"/>
      <c r="L66" s="81"/>
    </row>
    <row r="67" spans="1:12">
      <c r="A67" s="72"/>
      <c r="B67" s="71"/>
      <c r="C67" s="78"/>
      <c r="D67" s="73"/>
      <c r="E67" s="76"/>
      <c r="F67" s="72"/>
      <c r="G67" s="74"/>
      <c r="H67" s="75"/>
      <c r="I67" s="75"/>
      <c r="J67" s="76"/>
      <c r="K67" s="92"/>
      <c r="L67" s="81"/>
    </row>
    <row r="68" spans="1:12">
      <c r="A68" s="72"/>
      <c r="B68" s="71"/>
      <c r="C68" s="78"/>
      <c r="D68" s="73"/>
      <c r="E68" s="76"/>
      <c r="F68" s="72"/>
      <c r="G68" s="74"/>
      <c r="H68" s="75"/>
      <c r="I68" s="75"/>
      <c r="J68" s="76"/>
      <c r="K68" s="92"/>
      <c r="L68" s="81"/>
    </row>
    <row r="69" spans="1:12">
      <c r="A69" s="72"/>
      <c r="B69" s="71"/>
      <c r="C69" s="78"/>
      <c r="D69" s="73"/>
      <c r="E69" s="76"/>
      <c r="F69" s="72"/>
      <c r="G69" s="74"/>
      <c r="H69" s="75"/>
      <c r="I69" s="75"/>
      <c r="J69" s="76"/>
      <c r="K69" s="92"/>
      <c r="L69" s="81"/>
    </row>
    <row r="70" spans="1:12">
      <c r="A70" s="72"/>
      <c r="B70" s="71"/>
      <c r="C70" s="78"/>
      <c r="D70" s="73"/>
      <c r="E70" s="76"/>
      <c r="F70" s="72"/>
      <c r="G70" s="74"/>
      <c r="H70" s="75"/>
      <c r="I70" s="75"/>
      <c r="J70" s="76"/>
      <c r="K70" s="92"/>
      <c r="L70" s="81"/>
    </row>
    <row r="71" spans="1:12">
      <c r="A71" s="72"/>
      <c r="B71" s="71"/>
      <c r="C71" s="78"/>
      <c r="D71" s="73"/>
      <c r="E71" s="76"/>
      <c r="F71" s="72"/>
      <c r="G71" s="74"/>
      <c r="H71" s="75"/>
      <c r="I71" s="75"/>
      <c r="J71" s="76"/>
      <c r="K71" s="92"/>
      <c r="L71" s="81"/>
    </row>
    <row r="72" spans="1:12">
      <c r="A72" s="72"/>
      <c r="B72" s="71"/>
      <c r="C72" s="78"/>
      <c r="D72" s="73"/>
      <c r="E72" s="76"/>
      <c r="F72" s="72"/>
      <c r="G72" s="74"/>
      <c r="H72" s="75"/>
      <c r="I72" s="75"/>
      <c r="J72" s="76"/>
      <c r="K72" s="92"/>
      <c r="L72" s="81"/>
    </row>
    <row r="73" spans="1:12">
      <c r="A73" s="72"/>
      <c r="B73" s="71"/>
      <c r="C73" s="78"/>
      <c r="D73" s="73"/>
      <c r="E73" s="76"/>
      <c r="F73" s="72"/>
      <c r="G73" s="74"/>
      <c r="H73" s="75"/>
      <c r="I73" s="75"/>
      <c r="J73" s="76"/>
      <c r="K73" s="92"/>
      <c r="L73" s="81"/>
    </row>
    <row r="74" spans="1:12">
      <c r="A74" s="72"/>
      <c r="B74" s="71"/>
      <c r="C74" s="78"/>
      <c r="D74" s="73"/>
      <c r="E74" s="76"/>
      <c r="F74" s="72"/>
      <c r="G74" s="74"/>
      <c r="H74" s="75"/>
      <c r="I74" s="75"/>
      <c r="J74" s="76"/>
      <c r="K74" s="92"/>
      <c r="L74" s="81"/>
    </row>
    <row r="75" spans="1:12">
      <c r="A75" s="72"/>
      <c r="B75" s="71"/>
      <c r="C75" s="78"/>
      <c r="D75" s="73"/>
      <c r="E75" s="76"/>
      <c r="F75" s="72"/>
      <c r="G75" s="74"/>
      <c r="H75" s="75"/>
      <c r="I75" s="75"/>
      <c r="J75" s="76"/>
      <c r="K75" s="92"/>
      <c r="L75" s="81"/>
    </row>
    <row r="76" spans="1:12">
      <c r="A76" s="72"/>
      <c r="B76" s="71"/>
      <c r="C76" s="78"/>
      <c r="D76" s="73"/>
      <c r="E76" s="76"/>
      <c r="F76" s="72"/>
      <c r="G76" s="74"/>
      <c r="H76" s="75"/>
      <c r="I76" s="75"/>
      <c r="J76" s="76"/>
      <c r="K76" s="92"/>
      <c r="L76" s="81"/>
    </row>
    <row r="77" spans="1:12">
      <c r="A77" s="72"/>
      <c r="B77" s="71"/>
      <c r="C77" s="78"/>
      <c r="D77" s="73"/>
      <c r="E77" s="76"/>
      <c r="F77" s="72"/>
      <c r="G77" s="74"/>
      <c r="H77" s="75"/>
      <c r="I77" s="75"/>
      <c r="J77" s="76"/>
      <c r="K77" s="92"/>
      <c r="L77" s="81"/>
    </row>
    <row r="78" spans="1:12">
      <c r="A78" s="72"/>
      <c r="B78" s="71"/>
      <c r="C78" s="78"/>
      <c r="D78" s="73"/>
      <c r="E78" s="76"/>
      <c r="F78" s="72"/>
      <c r="G78" s="95"/>
      <c r="H78" s="75"/>
      <c r="I78" s="75"/>
      <c r="J78" s="76"/>
      <c r="K78" s="92"/>
      <c r="L78" s="81"/>
    </row>
    <row r="79" spans="1:12">
      <c r="A79" s="72"/>
      <c r="B79" s="71"/>
      <c r="C79" s="78"/>
      <c r="D79" s="73"/>
      <c r="E79" s="76"/>
      <c r="F79" s="72"/>
      <c r="G79" s="74"/>
      <c r="H79" s="75"/>
      <c r="I79" s="75"/>
      <c r="J79" s="76"/>
      <c r="K79" s="92"/>
      <c r="L79" s="81"/>
    </row>
    <row r="80" spans="1:12">
      <c r="A80" s="72"/>
      <c r="B80" s="71"/>
      <c r="C80" s="78"/>
      <c r="D80" s="73"/>
      <c r="E80" s="76"/>
      <c r="F80" s="72"/>
      <c r="G80" s="74"/>
      <c r="H80" s="75"/>
      <c r="I80" s="75"/>
      <c r="J80" s="76"/>
      <c r="K80" s="92"/>
      <c r="L80" s="81"/>
    </row>
    <row r="81" spans="1:12">
      <c r="A81" s="72"/>
      <c r="B81" s="71"/>
      <c r="C81" s="78"/>
      <c r="D81" s="73"/>
      <c r="E81" s="76"/>
      <c r="F81" s="72"/>
      <c r="G81" s="74"/>
      <c r="H81" s="75"/>
      <c r="I81" s="75"/>
      <c r="J81" s="76"/>
      <c r="K81" s="92"/>
      <c r="L81" s="81"/>
    </row>
    <row r="82" spans="1:12">
      <c r="A82" s="72"/>
      <c r="B82" s="71"/>
      <c r="C82" s="78"/>
      <c r="D82" s="73"/>
      <c r="E82" s="76"/>
      <c r="F82" s="72"/>
      <c r="G82" s="74"/>
      <c r="H82" s="75"/>
      <c r="I82" s="75"/>
      <c r="J82" s="76"/>
      <c r="K82" s="92"/>
      <c r="L82" s="81"/>
    </row>
    <row r="83" spans="1:12">
      <c r="A83" s="72"/>
      <c r="B83" s="71"/>
      <c r="C83" s="78"/>
      <c r="D83" s="73"/>
      <c r="E83" s="76"/>
      <c r="F83" s="72"/>
      <c r="G83" s="74"/>
      <c r="H83" s="75"/>
      <c r="I83" s="75"/>
      <c r="J83" s="76"/>
      <c r="K83" s="92"/>
      <c r="L83" s="81"/>
    </row>
    <row r="84" spans="1:12">
      <c r="A84" s="72"/>
      <c r="B84" s="96"/>
      <c r="C84" s="78"/>
      <c r="D84" s="73"/>
      <c r="E84" s="76"/>
      <c r="F84" s="72"/>
      <c r="G84" s="74"/>
      <c r="H84" s="75"/>
      <c r="I84" s="75"/>
      <c r="J84" s="76"/>
      <c r="K84" s="92"/>
      <c r="L84" s="81"/>
    </row>
    <row r="85" spans="1:12">
      <c r="A85" s="72"/>
      <c r="B85" s="71"/>
      <c r="C85" s="78"/>
      <c r="D85" s="73"/>
      <c r="E85" s="73"/>
      <c r="F85" s="72"/>
      <c r="G85" s="74"/>
      <c r="H85" s="75"/>
      <c r="I85" s="75"/>
      <c r="J85" s="76"/>
      <c r="K85" s="92"/>
      <c r="L85" s="81"/>
    </row>
    <row r="86" spans="1:12">
      <c r="A86" s="72"/>
      <c r="B86" s="71"/>
      <c r="C86" s="78"/>
      <c r="D86" s="73"/>
      <c r="E86" s="76"/>
      <c r="F86" s="72"/>
      <c r="G86" s="74"/>
      <c r="H86" s="75"/>
      <c r="I86" s="75"/>
      <c r="J86" s="76"/>
      <c r="K86" s="92"/>
      <c r="L86" s="81"/>
    </row>
    <row r="87" spans="1:12">
      <c r="A87" s="72"/>
      <c r="B87" s="71"/>
      <c r="C87" s="78"/>
      <c r="D87" s="73"/>
      <c r="E87" s="76"/>
      <c r="F87" s="72"/>
      <c r="G87" s="74"/>
      <c r="H87" s="75"/>
      <c r="I87" s="75"/>
      <c r="J87" s="76"/>
      <c r="K87" s="92"/>
      <c r="L87" s="81"/>
    </row>
    <row r="88" spans="1:12">
      <c r="A88" s="72"/>
      <c r="B88" s="71"/>
      <c r="C88" s="78"/>
      <c r="D88" s="73"/>
      <c r="E88" s="76"/>
      <c r="F88" s="72"/>
      <c r="G88" s="74"/>
      <c r="H88" s="75"/>
      <c r="I88" s="75"/>
      <c r="J88" s="76"/>
      <c r="K88" s="92"/>
      <c r="L88" s="81"/>
    </row>
    <row r="89" spans="1:12">
      <c r="A89" s="72"/>
      <c r="B89" s="71"/>
      <c r="C89" s="78"/>
      <c r="D89" s="73"/>
      <c r="E89" s="76"/>
      <c r="F89" s="72"/>
      <c r="G89" s="74"/>
      <c r="H89" s="75"/>
      <c r="I89" s="75">
        <f>G89-H89</f>
        <v>0</v>
      </c>
      <c r="J89" s="76"/>
      <c r="L89" s="81"/>
    </row>
    <row r="90" spans="1:12">
      <c r="A90" s="72"/>
      <c r="B90" s="71"/>
      <c r="C90" s="78"/>
      <c r="D90" s="73"/>
      <c r="E90" s="76"/>
      <c r="F90" s="72"/>
      <c r="G90" s="74"/>
      <c r="H90" s="75"/>
      <c r="I90" s="75">
        <f>G90-H90</f>
        <v>0</v>
      </c>
      <c r="J90" s="76"/>
      <c r="L90" s="81"/>
    </row>
    <row r="91" spans="1:12">
      <c r="A91" s="72"/>
      <c r="B91" s="71"/>
      <c r="C91" s="78"/>
      <c r="D91" s="73"/>
      <c r="E91" s="76"/>
      <c r="F91" s="72"/>
      <c r="G91" s="74"/>
      <c r="H91" s="75"/>
      <c r="I91" s="75"/>
      <c r="J91" s="76"/>
    </row>
    <row r="92" spans="1:12">
      <c r="A92" s="72"/>
      <c r="B92" s="71"/>
      <c r="C92" s="71"/>
      <c r="D92" s="73"/>
      <c r="E92" s="76"/>
      <c r="F92" s="72"/>
      <c r="G92" s="74"/>
      <c r="H92" s="75"/>
      <c r="I92" s="75"/>
      <c r="J92" s="76"/>
    </row>
    <row r="93" spans="1:12">
      <c r="F93" s="80" t="s">
        <v>106</v>
      </c>
      <c r="G93" s="79">
        <f>SUBTOTAL(109,G3:G92)</f>
        <v>0</v>
      </c>
      <c r="H93" s="79">
        <f>SUBTOTAL(109,H3:H92)</f>
        <v>0</v>
      </c>
      <c r="I93" s="79">
        <f>SUBTOTAL(109,I3:I92)</f>
        <v>0</v>
      </c>
    </row>
    <row r="94" spans="1:12">
      <c r="G94" s="26"/>
      <c r="I94" s="26"/>
    </row>
    <row r="95" spans="1:12">
      <c r="G95" s="26"/>
      <c r="I95" s="26"/>
    </row>
    <row r="96" spans="1:12">
      <c r="G96" s="26"/>
      <c r="I96" s="26"/>
    </row>
    <row r="97" spans="7:9">
      <c r="G97" s="26"/>
      <c r="I97" s="26"/>
    </row>
    <row r="98" spans="7:9">
      <c r="G98" s="26"/>
      <c r="I98" s="26"/>
    </row>
    <row r="99" spans="7:9">
      <c r="G99" s="26"/>
      <c r="I99" s="26"/>
    </row>
    <row r="100" spans="7:9">
      <c r="G100" s="26"/>
      <c r="I100" s="26"/>
    </row>
    <row r="101" spans="7:9">
      <c r="G101" s="26"/>
      <c r="I101" s="26"/>
    </row>
    <row r="102" spans="7:9">
      <c r="G102" s="26"/>
      <c r="I102" s="26"/>
    </row>
    <row r="103" spans="7:9">
      <c r="G103" s="26"/>
      <c r="I103" s="26"/>
    </row>
    <row r="104" spans="7:9">
      <c r="G104" s="26"/>
      <c r="I104" s="26"/>
    </row>
    <row r="105" spans="7:9">
      <c r="G105" s="26"/>
      <c r="I105" s="26"/>
    </row>
    <row r="106" spans="7:9">
      <c r="G106" s="26"/>
      <c r="I106" s="26"/>
    </row>
    <row r="107" spans="7:9">
      <c r="G107" s="26"/>
      <c r="I107" s="26"/>
    </row>
    <row r="108" spans="7:9">
      <c r="G108" s="26"/>
      <c r="I108" s="26"/>
    </row>
    <row r="109" spans="7:9">
      <c r="G109" s="26"/>
      <c r="I109" s="26"/>
    </row>
    <row r="110" spans="7:9">
      <c r="G110" s="26"/>
      <c r="I110" s="26"/>
    </row>
    <row r="111" spans="7:9">
      <c r="G111" s="26"/>
      <c r="I111" s="26"/>
    </row>
    <row r="112" spans="7:9">
      <c r="G112" s="26"/>
      <c r="I112" s="26"/>
    </row>
    <row r="113" spans="7:9">
      <c r="G113" s="26"/>
      <c r="I113" s="26"/>
    </row>
    <row r="114" spans="7:9">
      <c r="G114" s="26"/>
      <c r="I114" s="26"/>
    </row>
    <row r="115" spans="7:9">
      <c r="G115" s="26"/>
      <c r="I115" s="26"/>
    </row>
    <row r="116" spans="7:9">
      <c r="G116" s="26"/>
      <c r="I116" s="26"/>
    </row>
    <row r="117" spans="7:9">
      <c r="G117" s="26"/>
      <c r="I117" s="26"/>
    </row>
    <row r="118" spans="7:9">
      <c r="G118" s="26"/>
      <c r="I118" s="26"/>
    </row>
    <row r="119" spans="7:9">
      <c r="G119" s="26"/>
      <c r="I119" s="26"/>
    </row>
    <row r="120" spans="7:9">
      <c r="G120" s="26"/>
      <c r="I120" s="26"/>
    </row>
    <row r="121" spans="7:9">
      <c r="G121" s="26"/>
      <c r="I121" s="26"/>
    </row>
    <row r="122" spans="7:9">
      <c r="G122" s="26"/>
      <c r="I122" s="26"/>
    </row>
    <row r="123" spans="7:9">
      <c r="G123" s="26"/>
      <c r="I123" s="26"/>
    </row>
    <row r="124" spans="7:9">
      <c r="G124" s="26"/>
      <c r="I124" s="26"/>
    </row>
    <row r="125" spans="7:9">
      <c r="G125" s="26"/>
      <c r="I125" s="26"/>
    </row>
    <row r="126" spans="7:9">
      <c r="G126" s="26"/>
      <c r="I126" s="26"/>
    </row>
    <row r="127" spans="7:9">
      <c r="G127" s="26"/>
      <c r="I127" s="26"/>
    </row>
    <row r="128" spans="7:9">
      <c r="G128" s="26"/>
      <c r="I128" s="26"/>
    </row>
    <row r="129" spans="7:9">
      <c r="G129" s="26"/>
      <c r="I129" s="26"/>
    </row>
    <row r="130" spans="7:9">
      <c r="G130" s="26"/>
      <c r="I130" s="26"/>
    </row>
    <row r="131" spans="7:9">
      <c r="G131" s="26"/>
      <c r="I131" s="26"/>
    </row>
    <row r="132" spans="7:9">
      <c r="G132" s="26"/>
      <c r="I132" s="26"/>
    </row>
    <row r="133" spans="7:9">
      <c r="G133" s="26"/>
      <c r="I133" s="26"/>
    </row>
    <row r="134" spans="7:9">
      <c r="G134" s="26"/>
      <c r="I134" s="26"/>
    </row>
    <row r="135" spans="7:9">
      <c r="G135" s="26"/>
      <c r="I135" s="26"/>
    </row>
    <row r="136" spans="7:9">
      <c r="G136" s="26"/>
      <c r="I136" s="26"/>
    </row>
    <row r="137" spans="7:9">
      <c r="G137" s="26"/>
      <c r="I137" s="26"/>
    </row>
    <row r="138" spans="7:9">
      <c r="G138" s="26"/>
      <c r="I138" s="26"/>
    </row>
    <row r="139" spans="7:9">
      <c r="G139" s="26"/>
      <c r="I139" s="26"/>
    </row>
    <row r="140" spans="7:9">
      <c r="G140" s="26"/>
      <c r="I140" s="26"/>
    </row>
    <row r="141" spans="7:9">
      <c r="G141" s="26"/>
      <c r="I141" s="26"/>
    </row>
    <row r="142" spans="7:9">
      <c r="G142" s="26"/>
      <c r="I142" s="26"/>
    </row>
    <row r="143" spans="7:9">
      <c r="G143" s="26"/>
      <c r="I143" s="26"/>
    </row>
    <row r="144" spans="7:9">
      <c r="G144" s="26"/>
      <c r="I144" s="26"/>
    </row>
    <row r="145" spans="7:9">
      <c r="G145" s="26"/>
      <c r="I145" s="26"/>
    </row>
    <row r="146" spans="7:9">
      <c r="G146" s="26"/>
      <c r="I146" s="26"/>
    </row>
    <row r="147" spans="7:9">
      <c r="G147" s="26"/>
      <c r="I147" s="26"/>
    </row>
    <row r="148" spans="7:9">
      <c r="G148" s="26"/>
      <c r="I148" s="26"/>
    </row>
    <row r="149" spans="7:9">
      <c r="G149" s="26"/>
      <c r="I149" s="26"/>
    </row>
    <row r="150" spans="7:9">
      <c r="G150" s="26"/>
      <c r="I150" s="26"/>
    </row>
    <row r="151" spans="7:9">
      <c r="G151" s="26"/>
      <c r="I151" s="26"/>
    </row>
    <row r="152" spans="7:9">
      <c r="G152" s="26"/>
      <c r="I152" s="26"/>
    </row>
    <row r="153" spans="7:9">
      <c r="G153" s="26"/>
      <c r="I153" s="26"/>
    </row>
    <row r="154" spans="7:9">
      <c r="G154" s="26"/>
      <c r="I154" s="26"/>
    </row>
    <row r="155" spans="7:9">
      <c r="G155" s="26"/>
      <c r="I155" s="26"/>
    </row>
    <row r="156" spans="7:9">
      <c r="G156" s="26"/>
      <c r="I156" s="26"/>
    </row>
    <row r="157" spans="7:9">
      <c r="G157" s="26"/>
      <c r="I157" s="26"/>
    </row>
    <row r="158" spans="7:9">
      <c r="G158" s="26"/>
      <c r="I158" s="26"/>
    </row>
    <row r="159" spans="7:9">
      <c r="G159" s="26"/>
      <c r="I159" s="26"/>
    </row>
    <row r="160" spans="7:9">
      <c r="G160" s="26"/>
      <c r="I160" s="26"/>
    </row>
    <row r="161" spans="7:9">
      <c r="G161" s="26"/>
      <c r="I161" s="26"/>
    </row>
    <row r="162" spans="7:9">
      <c r="G162" s="26"/>
      <c r="I162" s="26"/>
    </row>
    <row r="163" spans="7:9">
      <c r="G163" s="26"/>
      <c r="I163" s="26"/>
    </row>
    <row r="164" spans="7:9">
      <c r="G164" s="26"/>
      <c r="I164" s="26"/>
    </row>
    <row r="165" spans="7:9">
      <c r="G165" s="26"/>
      <c r="I165" s="26"/>
    </row>
    <row r="166" spans="7:9">
      <c r="G166" s="26"/>
      <c r="I166" s="26"/>
    </row>
    <row r="167" spans="7:9">
      <c r="G167" s="26"/>
      <c r="I167" s="26"/>
    </row>
    <row r="168" spans="7:9">
      <c r="G168" s="26"/>
      <c r="I168" s="26"/>
    </row>
    <row r="169" spans="7:9">
      <c r="G169" s="26"/>
      <c r="I169" s="26"/>
    </row>
    <row r="170" spans="7:9">
      <c r="G170" s="26"/>
      <c r="I170" s="26"/>
    </row>
    <row r="171" spans="7:9">
      <c r="G171" s="26"/>
      <c r="I171" s="26"/>
    </row>
    <row r="172" spans="7:9">
      <c r="G172" s="26"/>
      <c r="I172" s="26"/>
    </row>
    <row r="173" spans="7:9">
      <c r="G173" s="26"/>
      <c r="I173" s="26"/>
    </row>
    <row r="174" spans="7:9">
      <c r="G174" s="26"/>
      <c r="I174" s="26"/>
    </row>
    <row r="175" spans="7:9">
      <c r="G175" s="26"/>
      <c r="I175" s="26"/>
    </row>
    <row r="176" spans="7:9">
      <c r="G176" s="26"/>
      <c r="I176" s="26"/>
    </row>
    <row r="177" spans="7:9">
      <c r="G177" s="26"/>
      <c r="I177" s="26"/>
    </row>
    <row r="178" spans="7:9">
      <c r="G178" s="26"/>
      <c r="I178" s="26"/>
    </row>
    <row r="179" spans="7:9">
      <c r="G179" s="26"/>
      <c r="I179" s="26"/>
    </row>
    <row r="180" spans="7:9">
      <c r="G180" s="26"/>
      <c r="I180" s="26"/>
    </row>
    <row r="181" spans="7:9">
      <c r="G181" s="26"/>
      <c r="I181" s="26"/>
    </row>
    <row r="182" spans="7:9">
      <c r="G182" s="26"/>
      <c r="I182" s="26"/>
    </row>
    <row r="183" spans="7:9">
      <c r="G183" s="26"/>
      <c r="I183" s="26"/>
    </row>
    <row r="184" spans="7:9">
      <c r="G184" s="26"/>
      <c r="I184" s="26"/>
    </row>
    <row r="185" spans="7:9">
      <c r="G185" s="26"/>
      <c r="I185" s="26"/>
    </row>
    <row r="186" spans="7:9">
      <c r="G186" s="26"/>
      <c r="I186" s="26"/>
    </row>
    <row r="187" spans="7:9">
      <c r="G187" s="26"/>
      <c r="I187" s="26"/>
    </row>
    <row r="188" spans="7:9">
      <c r="G188" s="26"/>
      <c r="I188" s="26"/>
    </row>
    <row r="189" spans="7:9">
      <c r="G189" s="26"/>
      <c r="I189" s="26"/>
    </row>
    <row r="190" spans="7:9">
      <c r="G190" s="26"/>
      <c r="I190" s="26"/>
    </row>
    <row r="191" spans="7:9">
      <c r="G191" s="26"/>
      <c r="I191" s="26"/>
    </row>
    <row r="192" spans="7:9">
      <c r="G192" s="26"/>
      <c r="I192" s="26"/>
    </row>
    <row r="193" spans="7:9">
      <c r="G193" s="26"/>
      <c r="I193" s="26"/>
    </row>
    <row r="194" spans="7:9">
      <c r="G194" s="26"/>
      <c r="I194" s="26"/>
    </row>
    <row r="195" spans="7:9">
      <c r="G195" s="26"/>
      <c r="I195" s="26"/>
    </row>
    <row r="196" spans="7:9">
      <c r="G196" s="26"/>
      <c r="I196" s="26"/>
    </row>
    <row r="197" spans="7:9">
      <c r="G197" s="26"/>
      <c r="I197" s="26"/>
    </row>
    <row r="198" spans="7:9">
      <c r="G198" s="26"/>
      <c r="I198" s="26"/>
    </row>
    <row r="199" spans="7:9">
      <c r="G199" s="26"/>
      <c r="I199" s="26"/>
    </row>
    <row r="200" spans="7:9">
      <c r="G200" s="26"/>
      <c r="I200" s="26"/>
    </row>
    <row r="201" spans="7:9">
      <c r="G201" s="26"/>
      <c r="I201" s="26"/>
    </row>
    <row r="202" spans="7:9">
      <c r="G202" s="26"/>
      <c r="I202" s="26"/>
    </row>
    <row r="203" spans="7:9">
      <c r="G203" s="26"/>
      <c r="I203" s="26"/>
    </row>
    <row r="204" spans="7:9">
      <c r="G204" s="26"/>
      <c r="I204" s="26"/>
    </row>
    <row r="205" spans="7:9">
      <c r="G205" s="26"/>
      <c r="I205" s="26"/>
    </row>
    <row r="206" spans="7:9">
      <c r="G206" s="26"/>
      <c r="I206" s="26"/>
    </row>
    <row r="207" spans="7:9">
      <c r="G207" s="26"/>
      <c r="I207" s="26"/>
    </row>
    <row r="208" spans="7:9">
      <c r="G208" s="26"/>
      <c r="I208" s="26"/>
    </row>
    <row r="209" spans="7:9">
      <c r="G209" s="26"/>
      <c r="I209" s="26"/>
    </row>
    <row r="210" spans="7:9">
      <c r="G210" s="26"/>
      <c r="I210" s="26"/>
    </row>
    <row r="211" spans="7:9">
      <c r="G211" s="26"/>
      <c r="I211" s="26"/>
    </row>
    <row r="212" spans="7:9">
      <c r="G212" s="26"/>
      <c r="I212" s="26"/>
    </row>
    <row r="213" spans="7:9">
      <c r="G213" s="26"/>
      <c r="I213" s="26"/>
    </row>
    <row r="214" spans="7:9">
      <c r="G214" s="26"/>
      <c r="I214" s="26"/>
    </row>
    <row r="215" spans="7:9">
      <c r="G215" s="26"/>
      <c r="I215" s="26"/>
    </row>
    <row r="216" spans="7:9">
      <c r="G216" s="26"/>
      <c r="I216" s="26"/>
    </row>
    <row r="217" spans="7:9">
      <c r="G217" s="26"/>
      <c r="I217" s="26"/>
    </row>
    <row r="218" spans="7:9">
      <c r="G218" s="26"/>
      <c r="I218" s="26"/>
    </row>
    <row r="219" spans="7:9">
      <c r="G219" s="26"/>
      <c r="I219" s="26"/>
    </row>
    <row r="220" spans="7:9">
      <c r="G220" s="26"/>
      <c r="I220" s="26"/>
    </row>
    <row r="221" spans="7:9">
      <c r="G221" s="26"/>
      <c r="I221" s="26"/>
    </row>
    <row r="222" spans="7:9">
      <c r="G222" s="26"/>
      <c r="I222" s="26"/>
    </row>
    <row r="223" spans="7:9">
      <c r="G223" s="26"/>
      <c r="I223" s="26"/>
    </row>
    <row r="224" spans="7:9">
      <c r="G224" s="26"/>
      <c r="I224" s="26"/>
    </row>
    <row r="225" spans="7:9">
      <c r="G225" s="26"/>
      <c r="I225" s="26"/>
    </row>
    <row r="226" spans="7:9">
      <c r="G226" s="26"/>
      <c r="I226" s="26"/>
    </row>
    <row r="227" spans="7:9">
      <c r="G227" s="26"/>
      <c r="I227" s="26"/>
    </row>
    <row r="228" spans="7:9">
      <c r="G228" s="26"/>
      <c r="I228" s="26"/>
    </row>
    <row r="229" spans="7:9">
      <c r="G229" s="26"/>
      <c r="I229" s="26"/>
    </row>
    <row r="230" spans="7:9">
      <c r="G230" s="26"/>
      <c r="I230" s="26"/>
    </row>
    <row r="231" spans="7:9">
      <c r="G231" s="26"/>
      <c r="I231" s="26"/>
    </row>
    <row r="232" spans="7:9">
      <c r="G232" s="26"/>
      <c r="I232" s="26"/>
    </row>
    <row r="233" spans="7:9">
      <c r="G233" s="26"/>
      <c r="I233" s="26"/>
    </row>
    <row r="234" spans="7:9">
      <c r="G234" s="26"/>
      <c r="I234" s="26"/>
    </row>
    <row r="235" spans="7:9">
      <c r="G235" s="26"/>
      <c r="I235" s="26"/>
    </row>
    <row r="236" spans="7:9">
      <c r="G236" s="26"/>
      <c r="I236" s="26"/>
    </row>
    <row r="237" spans="7:9">
      <c r="G237" s="26"/>
      <c r="I237" s="26"/>
    </row>
    <row r="238" spans="7:9">
      <c r="G238" s="26"/>
      <c r="I238" s="26"/>
    </row>
    <row r="239" spans="7:9">
      <c r="G239" s="26"/>
      <c r="I239" s="26"/>
    </row>
    <row r="240" spans="7:9">
      <c r="G240" s="26"/>
      <c r="I240" s="26"/>
    </row>
    <row r="241" spans="7:9">
      <c r="G241" s="26"/>
      <c r="I241" s="26"/>
    </row>
    <row r="242" spans="7:9">
      <c r="G242" s="26"/>
      <c r="I242" s="26"/>
    </row>
    <row r="243" spans="7:9">
      <c r="G243" s="26"/>
      <c r="I243" s="26"/>
    </row>
    <row r="244" spans="7:9">
      <c r="G244" s="26"/>
      <c r="I244" s="26"/>
    </row>
    <row r="245" spans="7:9">
      <c r="G245" s="26"/>
      <c r="I245" s="26"/>
    </row>
    <row r="246" spans="7:9">
      <c r="G246" s="26"/>
      <c r="I246" s="26"/>
    </row>
    <row r="247" spans="7:9">
      <c r="G247" s="26"/>
      <c r="I247" s="26"/>
    </row>
    <row r="248" spans="7:9">
      <c r="G248" s="26"/>
      <c r="I248" s="26"/>
    </row>
    <row r="249" spans="7:9">
      <c r="G249" s="26"/>
      <c r="I249" s="26"/>
    </row>
    <row r="250" spans="7:9">
      <c r="G250" s="26"/>
      <c r="I250" s="26"/>
    </row>
    <row r="251" spans="7:9">
      <c r="G251" s="26"/>
      <c r="I251" s="26"/>
    </row>
    <row r="252" spans="7:9">
      <c r="G252" s="26"/>
      <c r="I252" s="26"/>
    </row>
    <row r="253" spans="7:9">
      <c r="G253" s="26"/>
      <c r="I253" s="26"/>
    </row>
    <row r="254" spans="7:9">
      <c r="G254" s="26"/>
      <c r="I254" s="26"/>
    </row>
    <row r="255" spans="7:9">
      <c r="G255" s="26"/>
      <c r="I255" s="26"/>
    </row>
    <row r="256" spans="7:9">
      <c r="G256" s="26"/>
      <c r="I256" s="26"/>
    </row>
    <row r="257" spans="7:9">
      <c r="G257" s="26"/>
      <c r="I257" s="26"/>
    </row>
    <row r="258" spans="7:9">
      <c r="G258" s="26"/>
      <c r="I258" s="26"/>
    </row>
    <row r="259" spans="7:9">
      <c r="G259" s="26"/>
      <c r="I259" s="26"/>
    </row>
    <row r="260" spans="7:9">
      <c r="G260" s="26"/>
      <c r="I260" s="26"/>
    </row>
    <row r="261" spans="7:9">
      <c r="G261" s="26"/>
      <c r="I261" s="26"/>
    </row>
    <row r="262" spans="7:9">
      <c r="G262" s="26"/>
      <c r="I262" s="26"/>
    </row>
    <row r="263" spans="7:9">
      <c r="G263" s="26"/>
      <c r="I263" s="26"/>
    </row>
    <row r="264" spans="7:9">
      <c r="G264" s="26"/>
      <c r="I264" s="26"/>
    </row>
    <row r="265" spans="7:9">
      <c r="G265" s="26"/>
      <c r="I265" s="26"/>
    </row>
    <row r="266" spans="7:9">
      <c r="G266" s="26"/>
      <c r="I266" s="26"/>
    </row>
    <row r="267" spans="7:9">
      <c r="G267" s="26"/>
      <c r="I267" s="26"/>
    </row>
    <row r="268" spans="7:9">
      <c r="G268" s="26"/>
      <c r="I268" s="26"/>
    </row>
    <row r="269" spans="7:9">
      <c r="G269" s="26"/>
      <c r="I269" s="26"/>
    </row>
    <row r="270" spans="7:9">
      <c r="G270" s="26"/>
      <c r="I270" s="26"/>
    </row>
    <row r="271" spans="7:9">
      <c r="G271" s="26"/>
      <c r="I271" s="26"/>
    </row>
    <row r="272" spans="7:9">
      <c r="G272" s="26"/>
      <c r="I272" s="26"/>
    </row>
    <row r="273" spans="7:9">
      <c r="G273" s="26"/>
      <c r="I273" s="26"/>
    </row>
    <row r="274" spans="7:9">
      <c r="G274" s="26"/>
      <c r="I274" s="26"/>
    </row>
    <row r="275" spans="7:9">
      <c r="G275" s="26"/>
      <c r="I275" s="26"/>
    </row>
    <row r="276" spans="7:9">
      <c r="G276" s="26"/>
      <c r="I276" s="26"/>
    </row>
    <row r="277" spans="7:9">
      <c r="G277" s="26"/>
      <c r="I277" s="26"/>
    </row>
    <row r="278" spans="7:9">
      <c r="G278" s="26"/>
      <c r="I278" s="26"/>
    </row>
    <row r="279" spans="7:9">
      <c r="G279" s="26"/>
      <c r="I279" s="26"/>
    </row>
    <row r="280" spans="7:9">
      <c r="G280" s="26"/>
      <c r="I280" s="26"/>
    </row>
    <row r="281" spans="7:9">
      <c r="G281" s="26"/>
      <c r="I281" s="26"/>
    </row>
    <row r="282" spans="7:9">
      <c r="G282" s="26"/>
      <c r="I282" s="26"/>
    </row>
    <row r="283" spans="7:9">
      <c r="G283" s="26"/>
      <c r="I283" s="26"/>
    </row>
    <row r="284" spans="7:9">
      <c r="G284" s="26"/>
      <c r="I284" s="26"/>
    </row>
    <row r="285" spans="7:9">
      <c r="G285" s="26"/>
      <c r="I285" s="26"/>
    </row>
    <row r="286" spans="7:9">
      <c r="G286" s="26"/>
      <c r="I286" s="26"/>
    </row>
    <row r="287" spans="7:9">
      <c r="G287" s="26"/>
      <c r="I287" s="26"/>
    </row>
    <row r="288" spans="7:9">
      <c r="G288" s="26"/>
      <c r="I288" s="26"/>
    </row>
    <row r="289" spans="7:9">
      <c r="G289" s="26"/>
      <c r="I289" s="26"/>
    </row>
    <row r="290" spans="7:9">
      <c r="G290" s="26"/>
      <c r="I290" s="26"/>
    </row>
    <row r="291" spans="7:9">
      <c r="G291" s="26"/>
      <c r="I291" s="26"/>
    </row>
    <row r="292" spans="7:9">
      <c r="G292" s="26"/>
      <c r="I292" s="26"/>
    </row>
    <row r="293" spans="7:9">
      <c r="G293" s="26"/>
      <c r="I293" s="26"/>
    </row>
    <row r="294" spans="7:9">
      <c r="G294" s="26"/>
      <c r="I294" s="26"/>
    </row>
    <row r="295" spans="7:9">
      <c r="G295" s="26"/>
      <c r="I295" s="26"/>
    </row>
    <row r="296" spans="7:9">
      <c r="G296" s="26"/>
      <c r="I296" s="26"/>
    </row>
    <row r="297" spans="7:9">
      <c r="G297" s="26"/>
      <c r="I297" s="26"/>
    </row>
    <row r="298" spans="7:9">
      <c r="G298" s="26"/>
      <c r="I298" s="26"/>
    </row>
    <row r="299" spans="7:9">
      <c r="G299" s="26"/>
      <c r="I299" s="26"/>
    </row>
    <row r="300" spans="7:9">
      <c r="G300" s="26"/>
      <c r="I300" s="26"/>
    </row>
    <row r="301" spans="7:9">
      <c r="G301" s="26"/>
      <c r="I301" s="26"/>
    </row>
    <row r="302" spans="7:9">
      <c r="G302" s="26"/>
      <c r="I302" s="26"/>
    </row>
    <row r="303" spans="7:9">
      <c r="G303" s="26"/>
      <c r="I303" s="26"/>
    </row>
    <row r="304" spans="7:9">
      <c r="G304" s="26"/>
      <c r="I304" s="26"/>
    </row>
    <row r="305" spans="7:9">
      <c r="G305" s="26"/>
      <c r="I305" s="26"/>
    </row>
    <row r="306" spans="7:9">
      <c r="G306" s="26"/>
      <c r="I306" s="26"/>
    </row>
    <row r="307" spans="7:9">
      <c r="G307" s="26"/>
      <c r="I307" s="26"/>
    </row>
    <row r="308" spans="7:9">
      <c r="G308" s="26"/>
      <c r="I308" s="26"/>
    </row>
    <row r="309" spans="7:9">
      <c r="G309" s="26"/>
      <c r="I309" s="26"/>
    </row>
    <row r="310" spans="7:9">
      <c r="G310" s="26"/>
      <c r="I310" s="26"/>
    </row>
    <row r="311" spans="7:9">
      <c r="G311" s="26"/>
      <c r="I311" s="26"/>
    </row>
    <row r="312" spans="7:9">
      <c r="G312" s="26"/>
      <c r="I312" s="26"/>
    </row>
    <row r="313" spans="7:9">
      <c r="G313" s="26"/>
      <c r="I313" s="26"/>
    </row>
    <row r="314" spans="7:9">
      <c r="G314" s="26"/>
      <c r="I314" s="26"/>
    </row>
    <row r="315" spans="7:9">
      <c r="G315" s="26"/>
      <c r="I315" s="26"/>
    </row>
    <row r="316" spans="7:9">
      <c r="G316" s="26"/>
      <c r="I316" s="26"/>
    </row>
    <row r="317" spans="7:9">
      <c r="G317" s="26"/>
      <c r="I317" s="26"/>
    </row>
    <row r="318" spans="7:9">
      <c r="G318" s="26"/>
      <c r="I318" s="26"/>
    </row>
    <row r="319" spans="7:9">
      <c r="G319" s="26"/>
      <c r="I319" s="26"/>
    </row>
    <row r="320" spans="7:9">
      <c r="G320" s="26"/>
      <c r="I320" s="26"/>
    </row>
    <row r="321" spans="7:9">
      <c r="G321" s="26"/>
      <c r="I321" s="26"/>
    </row>
    <row r="322" spans="7:9">
      <c r="G322" s="26"/>
      <c r="I322" s="26"/>
    </row>
    <row r="323" spans="7:9">
      <c r="G323" s="26"/>
      <c r="I323" s="26"/>
    </row>
    <row r="324" spans="7:9">
      <c r="G324" s="26"/>
      <c r="I324" s="26"/>
    </row>
    <row r="325" spans="7:9">
      <c r="G325" s="26"/>
      <c r="I325" s="26"/>
    </row>
    <row r="326" spans="7:9">
      <c r="G326" s="26"/>
      <c r="I326" s="26"/>
    </row>
    <row r="327" spans="7:9">
      <c r="G327" s="26"/>
      <c r="I327" s="26"/>
    </row>
    <row r="328" spans="7:9">
      <c r="G328" s="26"/>
      <c r="I328" s="26"/>
    </row>
    <row r="329" spans="7:9">
      <c r="G329" s="26"/>
      <c r="I329" s="26"/>
    </row>
    <row r="330" spans="7:9">
      <c r="G330" s="26"/>
      <c r="I330" s="26"/>
    </row>
    <row r="331" spans="7:9">
      <c r="G331" s="26"/>
      <c r="I331" s="26"/>
    </row>
    <row r="332" spans="7:9">
      <c r="G332" s="26"/>
      <c r="I332" s="26"/>
    </row>
    <row r="333" spans="7:9">
      <c r="G333" s="26"/>
      <c r="I333" s="26"/>
    </row>
    <row r="334" spans="7:9">
      <c r="G334" s="26"/>
      <c r="I334" s="26"/>
    </row>
    <row r="335" spans="7:9">
      <c r="G335" s="26"/>
      <c r="I335" s="26"/>
    </row>
    <row r="336" spans="7:9">
      <c r="G336" s="26"/>
      <c r="I336" s="26"/>
    </row>
    <row r="337" spans="7:9">
      <c r="G337" s="26"/>
      <c r="I337" s="26"/>
    </row>
    <row r="338" spans="7:9">
      <c r="G338" s="26"/>
      <c r="I338" s="26"/>
    </row>
    <row r="339" spans="7:9">
      <c r="G339" s="26"/>
      <c r="I339" s="26"/>
    </row>
    <row r="340" spans="7:9">
      <c r="G340" s="26"/>
      <c r="I340" s="26"/>
    </row>
    <row r="341" spans="7:9">
      <c r="G341" s="26"/>
      <c r="I341" s="26"/>
    </row>
    <row r="342" spans="7:9">
      <c r="G342" s="26"/>
      <c r="I342" s="26"/>
    </row>
    <row r="343" spans="7:9">
      <c r="G343" s="26"/>
      <c r="I343" s="26"/>
    </row>
    <row r="344" spans="7:9">
      <c r="G344" s="26"/>
      <c r="I344" s="26"/>
    </row>
    <row r="345" spans="7:9">
      <c r="G345" s="26"/>
      <c r="I345" s="26"/>
    </row>
    <row r="346" spans="7:9">
      <c r="G346" s="26"/>
      <c r="I346" s="26"/>
    </row>
    <row r="347" spans="7:9">
      <c r="G347" s="26"/>
      <c r="I347" s="26"/>
    </row>
    <row r="348" spans="7:9">
      <c r="G348" s="26"/>
      <c r="I348" s="26"/>
    </row>
    <row r="349" spans="7:9">
      <c r="G349" s="26"/>
      <c r="I349" s="26"/>
    </row>
    <row r="350" spans="7:9">
      <c r="G350" s="26"/>
      <c r="I350" s="26"/>
    </row>
    <row r="351" spans="7:9">
      <c r="G351" s="26"/>
      <c r="I351" s="26"/>
    </row>
    <row r="352" spans="7:9">
      <c r="G352" s="26"/>
      <c r="I352" s="26"/>
    </row>
    <row r="353" spans="7:9">
      <c r="G353" s="26"/>
      <c r="I353" s="26"/>
    </row>
    <row r="354" spans="7:9">
      <c r="G354" s="26"/>
      <c r="I354" s="26"/>
    </row>
    <row r="355" spans="7:9">
      <c r="G355" s="26"/>
      <c r="I355" s="26"/>
    </row>
    <row r="356" spans="7:9">
      <c r="G356" s="26"/>
      <c r="I356" s="26"/>
    </row>
    <row r="357" spans="7:9">
      <c r="G357" s="26"/>
      <c r="I357" s="26"/>
    </row>
    <row r="358" spans="7:9">
      <c r="G358" s="26"/>
      <c r="I358" s="26"/>
    </row>
    <row r="359" spans="7:9">
      <c r="G359" s="26"/>
      <c r="I359" s="26"/>
    </row>
    <row r="360" spans="7:9">
      <c r="G360" s="26"/>
      <c r="I360" s="26"/>
    </row>
    <row r="361" spans="7:9">
      <c r="G361" s="26"/>
      <c r="I361" s="26"/>
    </row>
    <row r="362" spans="7:9">
      <c r="G362" s="26"/>
      <c r="I362" s="26"/>
    </row>
    <row r="363" spans="7:9">
      <c r="G363" s="26"/>
      <c r="I363" s="26"/>
    </row>
    <row r="364" spans="7:9">
      <c r="G364" s="26"/>
      <c r="I364" s="26"/>
    </row>
    <row r="365" spans="7:9">
      <c r="G365" s="26"/>
      <c r="I365" s="26"/>
    </row>
    <row r="366" spans="7:9">
      <c r="G366" s="26"/>
      <c r="I366" s="26"/>
    </row>
    <row r="367" spans="7:9">
      <c r="G367" s="26"/>
      <c r="I367" s="26"/>
    </row>
    <row r="368" spans="7:9">
      <c r="G368" s="26"/>
      <c r="I368" s="26"/>
    </row>
    <row r="369" spans="7:9">
      <c r="G369" s="26"/>
      <c r="I369" s="26"/>
    </row>
    <row r="370" spans="7:9">
      <c r="G370" s="26"/>
      <c r="I370" s="26"/>
    </row>
    <row r="371" spans="7:9">
      <c r="G371" s="26"/>
      <c r="I371" s="26"/>
    </row>
    <row r="372" spans="7:9">
      <c r="G372" s="26"/>
      <c r="I372" s="26"/>
    </row>
    <row r="373" spans="7:9">
      <c r="G373" s="26"/>
      <c r="I373" s="26"/>
    </row>
    <row r="374" spans="7:9">
      <c r="G374" s="26"/>
      <c r="I374" s="26"/>
    </row>
    <row r="375" spans="7:9">
      <c r="G375" s="26"/>
      <c r="I375" s="26"/>
    </row>
    <row r="376" spans="7:9">
      <c r="G376" s="26"/>
      <c r="I376" s="26"/>
    </row>
    <row r="377" spans="7:9">
      <c r="G377" s="26"/>
      <c r="I377" s="26"/>
    </row>
    <row r="378" spans="7:9">
      <c r="G378" s="26"/>
      <c r="I378" s="26"/>
    </row>
    <row r="379" spans="7:9">
      <c r="G379" s="26"/>
      <c r="I379" s="26"/>
    </row>
    <row r="380" spans="7:9">
      <c r="G380" s="26"/>
      <c r="I380" s="26"/>
    </row>
    <row r="381" spans="7:9">
      <c r="G381" s="26"/>
      <c r="I381" s="26"/>
    </row>
    <row r="382" spans="7:9">
      <c r="G382" s="26"/>
      <c r="I382" s="26"/>
    </row>
    <row r="383" spans="7:9">
      <c r="G383" s="26"/>
      <c r="I383" s="26"/>
    </row>
    <row r="384" spans="7:9">
      <c r="G384" s="26"/>
      <c r="I384" s="26"/>
    </row>
    <row r="385" spans="7:9">
      <c r="G385" s="26"/>
      <c r="I385" s="26"/>
    </row>
    <row r="386" spans="7:9">
      <c r="G386" s="26"/>
      <c r="I386" s="26"/>
    </row>
    <row r="387" spans="7:9">
      <c r="G387" s="26"/>
      <c r="I387" s="26"/>
    </row>
    <row r="388" spans="7:9">
      <c r="G388" s="26"/>
      <c r="I388" s="26"/>
    </row>
    <row r="389" spans="7:9">
      <c r="G389" s="26"/>
      <c r="I389" s="26"/>
    </row>
    <row r="390" spans="7:9">
      <c r="G390" s="26"/>
      <c r="I390" s="26"/>
    </row>
    <row r="391" spans="7:9">
      <c r="G391" s="26"/>
      <c r="I391" s="26"/>
    </row>
    <row r="392" spans="7:9">
      <c r="G392" s="26"/>
      <c r="I392" s="26"/>
    </row>
    <row r="393" spans="7:9">
      <c r="G393" s="26"/>
      <c r="I393" s="26"/>
    </row>
    <row r="394" spans="7:9">
      <c r="G394" s="26"/>
      <c r="I394" s="26"/>
    </row>
    <row r="395" spans="7:9">
      <c r="G395" s="26"/>
      <c r="I395" s="26"/>
    </row>
    <row r="396" spans="7:9">
      <c r="G396" s="26"/>
      <c r="I396" s="26"/>
    </row>
    <row r="397" spans="7:9">
      <c r="G397" s="26"/>
      <c r="I397" s="26"/>
    </row>
    <row r="398" spans="7:9">
      <c r="G398" s="26"/>
      <c r="I398" s="26"/>
    </row>
    <row r="399" spans="7:9">
      <c r="G399" s="26"/>
      <c r="I399" s="26"/>
    </row>
    <row r="400" spans="7:9">
      <c r="G400" s="26"/>
      <c r="I400" s="26"/>
    </row>
    <row r="401" spans="7:9">
      <c r="G401" s="26"/>
      <c r="I401" s="26"/>
    </row>
    <row r="402" spans="7:9">
      <c r="G402" s="26"/>
      <c r="I402" s="26"/>
    </row>
    <row r="403" spans="7:9">
      <c r="G403" s="26"/>
      <c r="I403" s="26"/>
    </row>
    <row r="404" spans="7:9">
      <c r="G404" s="26"/>
      <c r="I404" s="26"/>
    </row>
    <row r="405" spans="7:9">
      <c r="G405" s="26"/>
      <c r="I405" s="26"/>
    </row>
    <row r="406" spans="7:9">
      <c r="G406" s="26"/>
      <c r="I406" s="26"/>
    </row>
    <row r="407" spans="7:9">
      <c r="G407" s="26"/>
      <c r="I407" s="26"/>
    </row>
    <row r="408" spans="7:9">
      <c r="G408" s="26"/>
      <c r="I408" s="26"/>
    </row>
    <row r="409" spans="7:9">
      <c r="G409" s="26"/>
      <c r="I409" s="26"/>
    </row>
    <row r="410" spans="7:9">
      <c r="G410" s="26"/>
      <c r="I410" s="26"/>
    </row>
    <row r="411" spans="7:9">
      <c r="G411" s="26"/>
      <c r="I411" s="26"/>
    </row>
    <row r="412" spans="7:9">
      <c r="G412" s="26"/>
      <c r="I412" s="26"/>
    </row>
    <row r="413" spans="7:9">
      <c r="G413" s="26"/>
      <c r="I413" s="26"/>
    </row>
    <row r="414" spans="7:9">
      <c r="G414" s="26"/>
      <c r="I414" s="26"/>
    </row>
    <row r="415" spans="7:9">
      <c r="G415" s="26"/>
      <c r="I415" s="26"/>
    </row>
    <row r="416" spans="7:9">
      <c r="G416" s="26"/>
      <c r="I416" s="26"/>
    </row>
    <row r="417" spans="7:9">
      <c r="G417" s="26"/>
      <c r="I417" s="26"/>
    </row>
    <row r="418" spans="7:9">
      <c r="G418" s="26"/>
      <c r="I418" s="26"/>
    </row>
    <row r="419" spans="7:9">
      <c r="G419" s="26"/>
      <c r="I419" s="26"/>
    </row>
    <row r="420" spans="7:9">
      <c r="G420" s="26"/>
      <c r="I420" s="26"/>
    </row>
    <row r="421" spans="7:9">
      <c r="G421" s="26"/>
      <c r="I421" s="26"/>
    </row>
    <row r="422" spans="7:9">
      <c r="G422" s="26"/>
      <c r="I422" s="26"/>
    </row>
    <row r="423" spans="7:9">
      <c r="G423" s="26"/>
      <c r="I423" s="26"/>
    </row>
    <row r="424" spans="7:9">
      <c r="G424" s="26"/>
      <c r="I424" s="26"/>
    </row>
    <row r="425" spans="7:9">
      <c r="G425" s="26"/>
      <c r="I425" s="26"/>
    </row>
    <row r="426" spans="7:9">
      <c r="G426" s="26"/>
      <c r="I426" s="26"/>
    </row>
    <row r="427" spans="7:9">
      <c r="G427" s="26"/>
      <c r="I427" s="26"/>
    </row>
    <row r="428" spans="7:9">
      <c r="G428" s="26"/>
      <c r="I428" s="26"/>
    </row>
    <row r="429" spans="7:9">
      <c r="G429" s="26"/>
      <c r="I429" s="26"/>
    </row>
    <row r="430" spans="7:9">
      <c r="G430" s="26"/>
      <c r="I430" s="26"/>
    </row>
    <row r="431" spans="7:9">
      <c r="G431" s="26"/>
      <c r="I431" s="26"/>
    </row>
    <row r="432" spans="7:9">
      <c r="G432" s="26"/>
      <c r="I432" s="26"/>
    </row>
    <row r="433" spans="7:9">
      <c r="G433" s="26"/>
      <c r="I433" s="26"/>
    </row>
    <row r="434" spans="7:9">
      <c r="G434" s="26"/>
      <c r="I434" s="26"/>
    </row>
    <row r="435" spans="7:9">
      <c r="G435" s="26"/>
      <c r="I435" s="26"/>
    </row>
    <row r="436" spans="7:9">
      <c r="G436" s="26"/>
      <c r="I436" s="26"/>
    </row>
    <row r="437" spans="7:9">
      <c r="G437" s="26"/>
      <c r="I437" s="26"/>
    </row>
    <row r="438" spans="7:9">
      <c r="G438" s="26"/>
      <c r="I438" s="26"/>
    </row>
    <row r="439" spans="7:9">
      <c r="G439" s="26"/>
      <c r="I439" s="26"/>
    </row>
    <row r="440" spans="7:9">
      <c r="G440" s="26"/>
      <c r="I440" s="26"/>
    </row>
    <row r="441" spans="7:9">
      <c r="G441" s="26"/>
      <c r="I441" s="26"/>
    </row>
    <row r="442" spans="7:9">
      <c r="G442" s="26"/>
      <c r="I442" s="26"/>
    </row>
    <row r="443" spans="7:9">
      <c r="G443" s="26"/>
      <c r="I443" s="26"/>
    </row>
    <row r="444" spans="7:9">
      <c r="G444" s="26"/>
      <c r="I444" s="26"/>
    </row>
    <row r="445" spans="7:9">
      <c r="G445" s="26"/>
      <c r="I445" s="26"/>
    </row>
    <row r="446" spans="7:9">
      <c r="G446" s="26"/>
      <c r="I446" s="26"/>
    </row>
    <row r="447" spans="7:9">
      <c r="G447" s="26"/>
      <c r="I447" s="26"/>
    </row>
    <row r="448" spans="7:9">
      <c r="G448" s="26"/>
      <c r="I448" s="26"/>
    </row>
    <row r="449" spans="7:9">
      <c r="G449" s="26"/>
      <c r="I449" s="26"/>
    </row>
    <row r="450" spans="7:9">
      <c r="G450" s="26"/>
      <c r="I450" s="26"/>
    </row>
    <row r="451" spans="7:9">
      <c r="G451" s="26"/>
      <c r="I451" s="26"/>
    </row>
    <row r="452" spans="7:9">
      <c r="G452" s="26"/>
      <c r="I452" s="26"/>
    </row>
    <row r="453" spans="7:9">
      <c r="G453" s="26"/>
      <c r="I453" s="26"/>
    </row>
    <row r="454" spans="7:9">
      <c r="G454" s="26"/>
      <c r="I454" s="26"/>
    </row>
    <row r="455" spans="7:9">
      <c r="G455" s="26"/>
      <c r="I455" s="26"/>
    </row>
    <row r="456" spans="7:9">
      <c r="G456" s="26"/>
      <c r="I456" s="26"/>
    </row>
    <row r="457" spans="7:9">
      <c r="G457" s="26"/>
      <c r="I457" s="26"/>
    </row>
    <row r="458" spans="7:9">
      <c r="G458" s="26"/>
      <c r="I458" s="26"/>
    </row>
    <row r="459" spans="7:9">
      <c r="G459" s="26"/>
      <c r="I459" s="26"/>
    </row>
    <row r="460" spans="7:9">
      <c r="G460" s="26"/>
      <c r="I460" s="26"/>
    </row>
    <row r="461" spans="7:9">
      <c r="G461" s="26"/>
      <c r="I461" s="26"/>
    </row>
    <row r="462" spans="7:9">
      <c r="G462" s="26"/>
      <c r="I462" s="26"/>
    </row>
    <row r="463" spans="7:9">
      <c r="G463" s="26"/>
      <c r="I463" s="26"/>
    </row>
    <row r="464" spans="7:9">
      <c r="G464" s="26"/>
      <c r="I464" s="26"/>
    </row>
    <row r="465" spans="7:9">
      <c r="G465" s="26"/>
      <c r="I465" s="26"/>
    </row>
    <row r="466" spans="7:9">
      <c r="G466" s="26"/>
      <c r="I466" s="26"/>
    </row>
    <row r="467" spans="7:9">
      <c r="G467" s="26"/>
      <c r="I467" s="26"/>
    </row>
    <row r="468" spans="7:9">
      <c r="G468" s="26"/>
      <c r="I468" s="26"/>
    </row>
    <row r="469" spans="7:9">
      <c r="G469" s="26"/>
      <c r="I469" s="26"/>
    </row>
    <row r="470" spans="7:9">
      <c r="G470" s="26"/>
      <c r="I470" s="26"/>
    </row>
    <row r="471" spans="7:9">
      <c r="G471" s="26"/>
      <c r="I471" s="26"/>
    </row>
    <row r="472" spans="7:9">
      <c r="G472" s="26"/>
      <c r="I472" s="26"/>
    </row>
    <row r="473" spans="7:9">
      <c r="G473" s="26"/>
      <c r="I473" s="26"/>
    </row>
    <row r="474" spans="7:9">
      <c r="G474" s="26"/>
      <c r="I474" s="26"/>
    </row>
    <row r="475" spans="7:9">
      <c r="G475" s="26"/>
      <c r="I475" s="26"/>
    </row>
    <row r="476" spans="7:9">
      <c r="G476" s="26"/>
      <c r="I476" s="26"/>
    </row>
    <row r="477" spans="7:9">
      <c r="G477" s="26"/>
      <c r="I477" s="26"/>
    </row>
    <row r="478" spans="7:9">
      <c r="G478" s="26"/>
      <c r="I478" s="26"/>
    </row>
    <row r="479" spans="7:9">
      <c r="G479" s="26"/>
      <c r="I479" s="26"/>
    </row>
    <row r="480" spans="7:9">
      <c r="G480" s="26"/>
      <c r="I480" s="26"/>
    </row>
    <row r="481" spans="7:9">
      <c r="G481" s="26"/>
      <c r="I481" s="26"/>
    </row>
    <row r="482" spans="7:9">
      <c r="G482" s="26"/>
      <c r="I482" s="26"/>
    </row>
    <row r="483" spans="7:9">
      <c r="G483" s="26"/>
      <c r="I483" s="26"/>
    </row>
    <row r="484" spans="7:9">
      <c r="G484" s="26"/>
      <c r="I484" s="26"/>
    </row>
    <row r="485" spans="7:9">
      <c r="G485" s="26"/>
      <c r="I485" s="26"/>
    </row>
    <row r="486" spans="7:9">
      <c r="G486" s="26"/>
      <c r="I486" s="26"/>
    </row>
    <row r="487" spans="7:9">
      <c r="G487" s="26"/>
      <c r="I487" s="26"/>
    </row>
    <row r="488" spans="7:9">
      <c r="G488" s="26"/>
      <c r="I488" s="26"/>
    </row>
    <row r="489" spans="7:9">
      <c r="G489" s="26"/>
      <c r="I489" s="26"/>
    </row>
    <row r="490" spans="7:9">
      <c r="G490" s="26"/>
      <c r="I490" s="26"/>
    </row>
    <row r="491" spans="7:9">
      <c r="G491" s="26"/>
      <c r="I491" s="26"/>
    </row>
    <row r="492" spans="7:9">
      <c r="G492" s="26"/>
      <c r="I492" s="26"/>
    </row>
    <row r="493" spans="7:9">
      <c r="G493" s="26"/>
      <c r="I493" s="26"/>
    </row>
    <row r="494" spans="7:9">
      <c r="G494" s="26"/>
      <c r="I494" s="26"/>
    </row>
    <row r="495" spans="7:9">
      <c r="G495" s="26"/>
      <c r="I495" s="26"/>
    </row>
    <row r="496" spans="7:9">
      <c r="G496" s="26"/>
      <c r="I496" s="26"/>
    </row>
    <row r="497" spans="7:9">
      <c r="G497" s="26"/>
      <c r="I497" s="26"/>
    </row>
    <row r="498" spans="7:9">
      <c r="G498" s="26"/>
      <c r="I498" s="26"/>
    </row>
    <row r="499" spans="7:9">
      <c r="G499" s="26"/>
      <c r="I499" s="26"/>
    </row>
    <row r="500" spans="7:9">
      <c r="G500" s="26"/>
      <c r="I500" s="26"/>
    </row>
    <row r="501" spans="7:9">
      <c r="G501" s="26"/>
      <c r="I501" s="26"/>
    </row>
    <row r="502" spans="7:9">
      <c r="G502" s="26"/>
      <c r="I502" s="26"/>
    </row>
    <row r="503" spans="7:9">
      <c r="G503" s="26"/>
      <c r="I503" s="26"/>
    </row>
    <row r="504" spans="7:9">
      <c r="G504" s="26"/>
      <c r="I504" s="26"/>
    </row>
    <row r="505" spans="7:9">
      <c r="G505" s="26"/>
      <c r="I505" s="26"/>
    </row>
    <row r="506" spans="7:9">
      <c r="G506" s="26"/>
      <c r="I506" s="26"/>
    </row>
    <row r="507" spans="7:9">
      <c r="G507" s="26"/>
      <c r="I507" s="26"/>
    </row>
    <row r="508" spans="7:9">
      <c r="G508" s="26"/>
      <c r="I508" s="26"/>
    </row>
    <row r="509" spans="7:9">
      <c r="G509" s="26"/>
      <c r="I509" s="26"/>
    </row>
    <row r="510" spans="7:9">
      <c r="G510" s="26"/>
      <c r="I510" s="26"/>
    </row>
    <row r="511" spans="7:9">
      <c r="G511" s="26"/>
      <c r="I511" s="26"/>
    </row>
    <row r="512" spans="7:9">
      <c r="G512" s="26"/>
      <c r="I512" s="26"/>
    </row>
    <row r="513" spans="7:9">
      <c r="G513" s="26"/>
      <c r="I513" s="26"/>
    </row>
    <row r="514" spans="7:9">
      <c r="G514" s="26"/>
      <c r="I514" s="26"/>
    </row>
    <row r="515" spans="7:9">
      <c r="G515" s="26"/>
      <c r="I515" s="26"/>
    </row>
    <row r="516" spans="7:9">
      <c r="G516" s="26"/>
      <c r="I516" s="26"/>
    </row>
    <row r="517" spans="7:9">
      <c r="G517" s="26"/>
      <c r="I517" s="26"/>
    </row>
    <row r="518" spans="7:9">
      <c r="G518" s="26"/>
      <c r="I518" s="26"/>
    </row>
    <row r="519" spans="7:9">
      <c r="G519" s="26"/>
      <c r="I519" s="26"/>
    </row>
    <row r="520" spans="7:9">
      <c r="G520" s="26"/>
      <c r="I520" s="26"/>
    </row>
    <row r="521" spans="7:9">
      <c r="G521" s="26"/>
      <c r="I521" s="26"/>
    </row>
    <row r="522" spans="7:9">
      <c r="G522" s="26"/>
      <c r="I522" s="26"/>
    </row>
    <row r="523" spans="7:9">
      <c r="G523" s="26"/>
      <c r="I523" s="26"/>
    </row>
    <row r="524" spans="7:9">
      <c r="G524" s="26"/>
      <c r="I524" s="26"/>
    </row>
    <row r="525" spans="7:9">
      <c r="G525" s="26"/>
      <c r="I525" s="26"/>
    </row>
    <row r="526" spans="7:9">
      <c r="G526" s="26"/>
      <c r="I526" s="26"/>
    </row>
    <row r="527" spans="7:9">
      <c r="G527" s="26"/>
      <c r="I527" s="26"/>
    </row>
    <row r="528" spans="7:9">
      <c r="G528" s="26"/>
      <c r="I528" s="26"/>
    </row>
    <row r="529" spans="7:9">
      <c r="G529" s="26"/>
      <c r="I529" s="26"/>
    </row>
    <row r="530" spans="7:9">
      <c r="G530" s="26"/>
      <c r="I530" s="26"/>
    </row>
    <row r="531" spans="7:9">
      <c r="G531" s="26"/>
      <c r="I531" s="26"/>
    </row>
    <row r="532" spans="7:9">
      <c r="G532" s="26"/>
      <c r="I532" s="26"/>
    </row>
    <row r="533" spans="7:9">
      <c r="G533" s="26"/>
      <c r="I533" s="26"/>
    </row>
    <row r="534" spans="7:9">
      <c r="G534" s="26"/>
      <c r="I534" s="26"/>
    </row>
    <row r="535" spans="7:9">
      <c r="G535" s="26"/>
      <c r="I535" s="26"/>
    </row>
    <row r="536" spans="7:9">
      <c r="G536" s="26"/>
      <c r="I536" s="26"/>
    </row>
    <row r="537" spans="7:9">
      <c r="G537" s="26"/>
      <c r="I537" s="26"/>
    </row>
    <row r="538" spans="7:9">
      <c r="G538" s="26"/>
      <c r="I538" s="26"/>
    </row>
    <row r="539" spans="7:9">
      <c r="G539" s="26"/>
      <c r="I539" s="26"/>
    </row>
    <row r="540" spans="7:9">
      <c r="G540" s="26"/>
      <c r="I540" s="26"/>
    </row>
    <row r="541" spans="7:9">
      <c r="G541" s="26"/>
      <c r="I541" s="26"/>
    </row>
    <row r="542" spans="7:9">
      <c r="G542" s="26"/>
      <c r="I542" s="26"/>
    </row>
    <row r="543" spans="7:9">
      <c r="G543" s="26"/>
      <c r="I543" s="26"/>
    </row>
    <row r="544" spans="7:9">
      <c r="G544" s="26"/>
      <c r="I544" s="26"/>
    </row>
    <row r="545" spans="7:9">
      <c r="G545" s="26"/>
      <c r="I545" s="26"/>
    </row>
    <row r="546" spans="7:9">
      <c r="G546" s="26"/>
      <c r="I546" s="26"/>
    </row>
    <row r="547" spans="7:9">
      <c r="G547" s="26"/>
      <c r="I547" s="26"/>
    </row>
    <row r="548" spans="7:9">
      <c r="G548" s="26"/>
      <c r="I548" s="26"/>
    </row>
    <row r="549" spans="7:9">
      <c r="G549" s="26"/>
      <c r="I549" s="26"/>
    </row>
    <row r="550" spans="7:9">
      <c r="G550" s="26"/>
      <c r="I550" s="26"/>
    </row>
    <row r="551" spans="7:9">
      <c r="G551" s="26"/>
      <c r="I551" s="26"/>
    </row>
    <row r="552" spans="7:9">
      <c r="G552" s="26"/>
      <c r="I552" s="26"/>
    </row>
    <row r="553" spans="7:9">
      <c r="G553" s="26"/>
      <c r="I553" s="26"/>
    </row>
    <row r="554" spans="7:9">
      <c r="G554" s="26"/>
      <c r="I554" s="26"/>
    </row>
    <row r="555" spans="7:9">
      <c r="G555" s="26"/>
      <c r="I555" s="26"/>
    </row>
    <row r="556" spans="7:9">
      <c r="G556" s="26"/>
      <c r="I556" s="26"/>
    </row>
    <row r="557" spans="7:9">
      <c r="G557" s="26"/>
      <c r="I557" s="26"/>
    </row>
    <row r="558" spans="7:9">
      <c r="G558" s="26"/>
      <c r="I558" s="26"/>
    </row>
    <row r="559" spans="7:9">
      <c r="G559" s="26"/>
      <c r="I559" s="26"/>
    </row>
    <row r="560" spans="7:9">
      <c r="G560" s="26"/>
      <c r="I560" s="26"/>
    </row>
    <row r="561" spans="7:9">
      <c r="G561" s="26"/>
      <c r="I561" s="26"/>
    </row>
    <row r="562" spans="7:9">
      <c r="G562" s="26"/>
      <c r="I562" s="26"/>
    </row>
    <row r="563" spans="7:9">
      <c r="G563" s="26"/>
      <c r="I563" s="26"/>
    </row>
    <row r="564" spans="7:9">
      <c r="G564" s="26"/>
      <c r="I564" s="26"/>
    </row>
    <row r="565" spans="7:9">
      <c r="G565" s="26"/>
      <c r="I565" s="26"/>
    </row>
    <row r="566" spans="7:9">
      <c r="G566" s="26"/>
      <c r="I566" s="26"/>
    </row>
    <row r="567" spans="7:9">
      <c r="G567" s="26"/>
      <c r="I567" s="26"/>
    </row>
    <row r="568" spans="7:9">
      <c r="G568" s="26"/>
      <c r="I568" s="26"/>
    </row>
    <row r="569" spans="7:9">
      <c r="G569" s="26"/>
      <c r="I569" s="26"/>
    </row>
    <row r="570" spans="7:9">
      <c r="G570" s="26"/>
      <c r="I570" s="26"/>
    </row>
    <row r="571" spans="7:9">
      <c r="G571" s="26"/>
      <c r="I571" s="26"/>
    </row>
    <row r="572" spans="7:9">
      <c r="G572" s="26"/>
      <c r="I572" s="26"/>
    </row>
    <row r="573" spans="7:9">
      <c r="G573" s="26"/>
      <c r="I573" s="26"/>
    </row>
    <row r="574" spans="7:9">
      <c r="G574" s="26"/>
      <c r="I574" s="26"/>
    </row>
    <row r="575" spans="7:9">
      <c r="G575" s="26"/>
      <c r="I575" s="26"/>
    </row>
    <row r="576" spans="7:9">
      <c r="G576" s="26"/>
      <c r="I576" s="26"/>
    </row>
    <row r="577" spans="7:9">
      <c r="G577" s="26"/>
      <c r="I577" s="26"/>
    </row>
    <row r="578" spans="7:9">
      <c r="G578" s="26"/>
      <c r="I578" s="26"/>
    </row>
    <row r="579" spans="7:9">
      <c r="G579" s="26"/>
      <c r="I579" s="26"/>
    </row>
    <row r="580" spans="7:9">
      <c r="G580" s="26"/>
      <c r="I580" s="26"/>
    </row>
    <row r="581" spans="7:9">
      <c r="G581" s="26"/>
      <c r="I581" s="26"/>
    </row>
    <row r="582" spans="7:9">
      <c r="G582" s="26"/>
      <c r="I582" s="26"/>
    </row>
    <row r="583" spans="7:9">
      <c r="G583" s="26"/>
      <c r="I583" s="26"/>
    </row>
    <row r="584" spans="7:9">
      <c r="G584" s="26"/>
      <c r="I584" s="26"/>
    </row>
    <row r="585" spans="7:9">
      <c r="G585" s="26"/>
      <c r="I585" s="26"/>
    </row>
    <row r="586" spans="7:9">
      <c r="G586" s="26"/>
      <c r="I586" s="26"/>
    </row>
    <row r="587" spans="7:9">
      <c r="G587" s="26"/>
      <c r="I587" s="26"/>
    </row>
    <row r="588" spans="7:9">
      <c r="G588" s="26"/>
      <c r="I588" s="26"/>
    </row>
    <row r="589" spans="7:9">
      <c r="G589" s="26"/>
      <c r="I589" s="26"/>
    </row>
    <row r="590" spans="7:9">
      <c r="G590" s="26"/>
      <c r="I590" s="26"/>
    </row>
    <row r="591" spans="7:9">
      <c r="G591" s="26"/>
      <c r="I591" s="26"/>
    </row>
    <row r="592" spans="7:9">
      <c r="G592" s="26"/>
      <c r="I592" s="26"/>
    </row>
    <row r="593" spans="7:9">
      <c r="G593" s="26"/>
      <c r="I593" s="26"/>
    </row>
    <row r="594" spans="7:9">
      <c r="G594" s="26"/>
      <c r="I594" s="26"/>
    </row>
    <row r="595" spans="7:9">
      <c r="G595" s="26"/>
      <c r="I595" s="26"/>
    </row>
    <row r="596" spans="7:9">
      <c r="G596" s="26"/>
      <c r="I596" s="26"/>
    </row>
    <row r="597" spans="7:9">
      <c r="G597" s="26"/>
      <c r="I597" s="26"/>
    </row>
    <row r="598" spans="7:9">
      <c r="G598" s="26"/>
      <c r="I598" s="26"/>
    </row>
    <row r="599" spans="7:9">
      <c r="G599" s="26"/>
      <c r="I599" s="26"/>
    </row>
    <row r="600" spans="7:9">
      <c r="G600" s="26"/>
      <c r="I600" s="26"/>
    </row>
    <row r="601" spans="7:9">
      <c r="G601" s="26"/>
      <c r="I601" s="26"/>
    </row>
    <row r="602" spans="7:9">
      <c r="G602" s="26"/>
      <c r="I602" s="26"/>
    </row>
    <row r="603" spans="7:9">
      <c r="G603" s="26"/>
      <c r="I603" s="26"/>
    </row>
    <row r="604" spans="7:9">
      <c r="G604" s="26"/>
      <c r="I604" s="26"/>
    </row>
    <row r="605" spans="7:9">
      <c r="G605" s="26"/>
      <c r="I605" s="26"/>
    </row>
    <row r="606" spans="7:9">
      <c r="G606" s="26"/>
      <c r="I606" s="26"/>
    </row>
    <row r="607" spans="7:9">
      <c r="G607" s="26"/>
      <c r="I607" s="26"/>
    </row>
    <row r="608" spans="7:9">
      <c r="G608" s="26"/>
      <c r="I608" s="26"/>
    </row>
    <row r="609" spans="7:9">
      <c r="G609" s="26"/>
      <c r="I609" s="26"/>
    </row>
    <row r="610" spans="7:9">
      <c r="G610" s="26"/>
      <c r="I610" s="26"/>
    </row>
    <row r="611" spans="7:9">
      <c r="G611" s="26"/>
      <c r="I611" s="26"/>
    </row>
    <row r="612" spans="7:9">
      <c r="G612" s="26"/>
      <c r="I612" s="26"/>
    </row>
    <row r="613" spans="7:9">
      <c r="G613" s="26"/>
      <c r="I613" s="26"/>
    </row>
    <row r="614" spans="7:9">
      <c r="G614" s="26"/>
      <c r="I614" s="26"/>
    </row>
    <row r="615" spans="7:9">
      <c r="G615" s="26"/>
      <c r="I615" s="26"/>
    </row>
    <row r="616" spans="7:9">
      <c r="G616" s="26"/>
      <c r="I616" s="26"/>
    </row>
    <row r="617" spans="7:9">
      <c r="G617" s="26"/>
      <c r="I617" s="26"/>
    </row>
    <row r="618" spans="7:9">
      <c r="G618" s="26"/>
      <c r="I618" s="26"/>
    </row>
    <row r="619" spans="7:9">
      <c r="G619" s="26"/>
      <c r="I619" s="26"/>
    </row>
    <row r="620" spans="7:9">
      <c r="G620" s="26"/>
      <c r="I620" s="26"/>
    </row>
    <row r="621" spans="7:9">
      <c r="G621" s="26"/>
      <c r="I621" s="26"/>
    </row>
    <row r="622" spans="7:9">
      <c r="G622" s="26"/>
      <c r="I622" s="26"/>
    </row>
    <row r="623" spans="7:9">
      <c r="G623" s="26"/>
      <c r="I623" s="26"/>
    </row>
    <row r="624" spans="7:9">
      <c r="G624" s="26"/>
      <c r="I624" s="26"/>
    </row>
    <row r="625" spans="7:9">
      <c r="G625" s="26"/>
      <c r="I625" s="26"/>
    </row>
    <row r="626" spans="7:9">
      <c r="G626" s="26"/>
      <c r="I626" s="26"/>
    </row>
    <row r="627" spans="7:9">
      <c r="G627" s="26"/>
      <c r="I627" s="26"/>
    </row>
    <row r="628" spans="7:9">
      <c r="G628" s="26"/>
      <c r="I628" s="26"/>
    </row>
    <row r="629" spans="7:9">
      <c r="G629" s="26"/>
      <c r="I629" s="26"/>
    </row>
  </sheetData>
  <autoFilter ref="A2:J90" xr:uid="{00000000-0009-0000-0000-000002000000}">
    <filterColumn colId="3">
      <filters>
        <filter val="01"/>
      </filters>
    </filterColumn>
  </autoFilter>
  <sortState xmlns:xlrd2="http://schemas.microsoft.com/office/spreadsheetml/2017/richdata2" ref="A74:I88">
    <sortCondition ref="A74:A88"/>
    <sortCondition ref="C74:C88"/>
  </sortState>
  <phoneticPr fontId="17" type="noConversion"/>
  <pageMargins left="0.25" right="0.25" top="0.75" bottom="0.75" header="0" footer="0"/>
  <pageSetup scale="53"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00"/>
  <sheetViews>
    <sheetView workbookViewId="0"/>
  </sheetViews>
  <sheetFormatPr baseColWidth="10" defaultColWidth="14.5" defaultRowHeight="15" customHeight="1"/>
  <cols>
    <col min="1" max="1" width="16.6640625" customWidth="1"/>
    <col min="2" max="2" width="12" customWidth="1"/>
    <col min="3" max="3" width="11.5" customWidth="1"/>
    <col min="4" max="4" width="6.1640625" customWidth="1"/>
    <col min="5" max="5" width="9.6640625" customWidth="1"/>
    <col min="6" max="6" width="8.83203125" customWidth="1"/>
    <col min="7" max="7" width="16.6640625" customWidth="1"/>
    <col min="8" max="8" width="12.5" customWidth="1"/>
    <col min="9" max="26" width="8.6640625" customWidth="1"/>
  </cols>
  <sheetData>
    <row r="1" spans="1:8">
      <c r="A1" s="22" t="s">
        <v>97</v>
      </c>
      <c r="B1" s="22" t="s">
        <v>98</v>
      </c>
      <c r="C1" s="22" t="s">
        <v>99</v>
      </c>
      <c r="D1" s="22" t="s">
        <v>100</v>
      </c>
      <c r="E1" s="22" t="s">
        <v>101</v>
      </c>
      <c r="F1" s="22" t="s">
        <v>102</v>
      </c>
      <c r="G1" s="22" t="s">
        <v>103</v>
      </c>
      <c r="H1" s="22" t="s">
        <v>104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702</vt:lpstr>
      <vt:lpstr>703</vt:lpstr>
      <vt:lpstr>Detail</vt:lpstr>
      <vt:lpstr>_REFERENCE888777888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Katie</dc:creator>
  <cp:lastModifiedBy>Alex Beatty</cp:lastModifiedBy>
  <cp:lastPrinted>2023-01-23T13:03:36Z</cp:lastPrinted>
  <dcterms:created xsi:type="dcterms:W3CDTF">2019-09-12T14:14:03Z</dcterms:created>
  <dcterms:modified xsi:type="dcterms:W3CDTF">2026-03-11T21:05:10Z</dcterms:modified>
</cp:coreProperties>
</file>